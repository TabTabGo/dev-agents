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nadeemmardini/Downloads/"/>
    </mc:Choice>
  </mc:AlternateContent>
  <xr:revisionPtr revIDLastSave="0" documentId="13_ncr:1_{ACD16282-E41D-F041-870A-E42040FD7969}" xr6:coauthVersionLast="47" xr6:coauthVersionMax="47" xr10:uidLastSave="{00000000-0000-0000-0000-000000000000}"/>
  <bookViews>
    <workbookView xWindow="0" yWindow="660" windowWidth="34560" windowHeight="19720" xr2:uid="{00000000-000D-0000-FFFF-FFFF00000000}"/>
  </bookViews>
  <sheets>
    <sheet name="Phase Estimation" sheetId="1" r:id="rId1"/>
    <sheet name="Open Questions" sheetId="2" r:id="rId2"/>
    <sheet name="Assumptions" sheetId="3" r:id="rId3"/>
    <sheet name="Variab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" i="1" l="1"/>
  <c r="J46" i="1"/>
  <c r="J8" i="1"/>
  <c r="B3" i="4"/>
  <c r="F8" i="1"/>
  <c r="G8" i="1" s="1"/>
  <c r="H8" i="1" s="1"/>
  <c r="I8" i="1" s="1"/>
  <c r="F46" i="1"/>
  <c r="G45" i="1"/>
  <c r="H45" i="1"/>
  <c r="I45" i="1" s="1"/>
  <c r="F61" i="1"/>
  <c r="G61" i="1" s="1"/>
  <c r="H61" i="1" s="1"/>
  <c r="I61" i="1" s="1"/>
  <c r="G46" i="1"/>
  <c r="H46" i="1" s="1"/>
  <c r="I46" i="1" s="1"/>
  <c r="F32" i="1"/>
  <c r="F30" i="1"/>
  <c r="F26" i="1"/>
  <c r="F19" i="1"/>
  <c r="F10" i="1"/>
  <c r="G33" i="1"/>
  <c r="H33" i="1" s="1"/>
  <c r="I33" i="1" s="1"/>
  <c r="I32" i="1" s="1"/>
  <c r="G59" i="1"/>
  <c r="H59" i="1" s="1"/>
  <c r="I59" i="1" s="1"/>
  <c r="G58" i="1"/>
  <c r="H58" i="1" s="1"/>
  <c r="I58" i="1" s="1"/>
  <c r="G57" i="1"/>
  <c r="H57" i="1" s="1"/>
  <c r="I57" i="1" s="1"/>
  <c r="G56" i="1"/>
  <c r="H56" i="1" s="1"/>
  <c r="I56" i="1" s="1"/>
  <c r="G55" i="1"/>
  <c r="H55" i="1" s="1"/>
  <c r="I55" i="1" s="1"/>
  <c r="G7" i="1"/>
  <c r="H7" i="1" s="1"/>
  <c r="I7" i="1" s="1"/>
  <c r="G54" i="1"/>
  <c r="H54" i="1" s="1"/>
  <c r="I54" i="1" s="1"/>
  <c r="G53" i="1"/>
  <c r="H53" i="1" s="1"/>
  <c r="I53" i="1" s="1"/>
  <c r="G52" i="1"/>
  <c r="H52" i="1" s="1"/>
  <c r="I52" i="1" s="1"/>
  <c r="G51" i="1"/>
  <c r="H51" i="1" s="1"/>
  <c r="I51" i="1" s="1"/>
  <c r="G50" i="1"/>
  <c r="H50" i="1" s="1"/>
  <c r="I50" i="1" s="1"/>
  <c r="G49" i="1"/>
  <c r="H49" i="1" s="1"/>
  <c r="I49" i="1" s="1"/>
  <c r="G48" i="1"/>
  <c r="H48" i="1" s="1"/>
  <c r="I48" i="1" s="1"/>
  <c r="G60" i="1"/>
  <c r="H60" i="1" s="1"/>
  <c r="I60" i="1" s="1"/>
  <c r="G43" i="1"/>
  <c r="H43" i="1" s="1"/>
  <c r="I43" i="1" s="1"/>
  <c r="G42" i="1"/>
  <c r="H42" i="1" s="1"/>
  <c r="I42" i="1" s="1"/>
  <c r="G41" i="1"/>
  <c r="H41" i="1" s="1"/>
  <c r="I41" i="1" s="1"/>
  <c r="G40" i="1"/>
  <c r="H40" i="1" s="1"/>
  <c r="I40" i="1" s="1"/>
  <c r="G39" i="1"/>
  <c r="H39" i="1" s="1"/>
  <c r="I39" i="1" s="1"/>
  <c r="G38" i="1"/>
  <c r="H38" i="1" s="1"/>
  <c r="I38" i="1" s="1"/>
  <c r="G37" i="1"/>
  <c r="H37" i="1" s="1"/>
  <c r="I37" i="1" s="1"/>
  <c r="G36" i="1"/>
  <c r="H36" i="1" s="1"/>
  <c r="I36" i="1" s="1"/>
  <c r="G31" i="1"/>
  <c r="H31" i="1" s="1"/>
  <c r="I31" i="1" s="1"/>
  <c r="I30" i="1" s="1"/>
  <c r="G29" i="1"/>
  <c r="H29" i="1" s="1"/>
  <c r="I29" i="1" s="1"/>
  <c r="G44" i="1"/>
  <c r="H44" i="1" s="1"/>
  <c r="I44" i="1" s="1"/>
  <c r="G28" i="1"/>
  <c r="H28" i="1" s="1"/>
  <c r="I28" i="1" s="1"/>
  <c r="G27" i="1"/>
  <c r="H27" i="1" s="1"/>
  <c r="I27" i="1" s="1"/>
  <c r="G25" i="1"/>
  <c r="H25" i="1" s="1"/>
  <c r="I25" i="1" s="1"/>
  <c r="G24" i="1"/>
  <c r="H24" i="1" s="1"/>
  <c r="I24" i="1" s="1"/>
  <c r="G23" i="1"/>
  <c r="H23" i="1" s="1"/>
  <c r="I23" i="1" s="1"/>
  <c r="G22" i="1"/>
  <c r="H22" i="1" s="1"/>
  <c r="I22" i="1" s="1"/>
  <c r="G21" i="1"/>
  <c r="H21" i="1" s="1"/>
  <c r="I21" i="1" s="1"/>
  <c r="G20" i="1"/>
  <c r="H20" i="1" s="1"/>
  <c r="I20" i="1" s="1"/>
  <c r="G18" i="1"/>
  <c r="H18" i="1" s="1"/>
  <c r="I18" i="1" s="1"/>
  <c r="G17" i="1"/>
  <c r="H17" i="1" s="1"/>
  <c r="I17" i="1" s="1"/>
  <c r="G16" i="1"/>
  <c r="H16" i="1" s="1"/>
  <c r="I16" i="1" s="1"/>
  <c r="G15" i="1"/>
  <c r="H15" i="1" s="1"/>
  <c r="I15" i="1" s="1"/>
  <c r="G14" i="1"/>
  <c r="H14" i="1" s="1"/>
  <c r="I14" i="1" s="1"/>
  <c r="G13" i="1"/>
  <c r="H13" i="1" s="1"/>
  <c r="I13" i="1" s="1"/>
  <c r="G12" i="1"/>
  <c r="H12" i="1" s="1"/>
  <c r="I12" i="1" s="1"/>
  <c r="G11" i="1"/>
  <c r="H11" i="1" s="1"/>
  <c r="I11" i="1" s="1"/>
  <c r="G6" i="1"/>
  <c r="H6" i="1" s="1"/>
  <c r="I6" i="1" s="1"/>
  <c r="G5" i="1"/>
  <c r="H5" i="1" s="1"/>
  <c r="I5" i="1" s="1"/>
  <c r="G4" i="1"/>
  <c r="H4" i="1" s="1"/>
  <c r="I4" i="1" s="1"/>
  <c r="G3" i="1"/>
  <c r="H3" i="1" s="1"/>
  <c r="I3" i="1" s="1"/>
  <c r="G32" i="1" l="1"/>
  <c r="I19" i="1"/>
  <c r="F34" i="1"/>
  <c r="I10" i="1"/>
  <c r="I26" i="1"/>
  <c r="H30" i="1"/>
  <c r="G19" i="1"/>
  <c r="H19" i="1"/>
  <c r="H32" i="1"/>
  <c r="G26" i="1"/>
  <c r="H26" i="1"/>
  <c r="G10" i="1"/>
  <c r="H10" i="1"/>
  <c r="G30" i="1"/>
  <c r="G34" i="1" l="1"/>
  <c r="H34" i="1" s="1"/>
  <c r="I34" i="1" s="1"/>
  <c r="J34" i="1" s="1"/>
  <c r="F62" i="1"/>
  <c r="G62" i="1" s="1"/>
  <c r="H62" i="1" s="1"/>
  <c r="I62" i="1" s="1"/>
  <c r="J62" i="1" s="1"/>
</calcChain>
</file>

<file path=xl/sharedStrings.xml><?xml version="1.0" encoding="utf-8"?>
<sst xmlns="http://schemas.openxmlformats.org/spreadsheetml/2006/main" count="422" uniqueCount="253">
  <si>
    <t>Phase</t>
  </si>
  <si>
    <t>Task ID</t>
  </si>
  <si>
    <t>Task</t>
  </si>
  <si>
    <t>Description</t>
  </si>
  <si>
    <t>Est. Days</t>
  </si>
  <si>
    <t>Buffer 20%</t>
  </si>
  <si>
    <t>Total Days</t>
  </si>
  <si>
    <t>Est. Weeks</t>
  </si>
  <si>
    <t>Cost</t>
  </si>
  <si>
    <t>Comments</t>
  </si>
  <si>
    <t>Phase 0 — Design &amp; Setup</t>
  </si>
  <si>
    <t>0.1</t>
  </si>
  <si>
    <t>UI/UX Wireframes</t>
  </si>
  <si>
    <t>Wireframes for all 6 views (Finder, Roster, Pipeline, Deals, Patterns, Admin), creator detail, proposal flow, dashboard mockups, approval workflow UI, mobile responsive, client sign-off</t>
  </si>
  <si>
    <t>0.2</t>
  </si>
  <si>
    <t>Process Flow Diagrams</t>
  </si>
  <si>
    <t>Proposal lifecycle, AI recommendation flow, approval workflow, rate card calculation, social data refresh, creator onboarding, media kit extraction</t>
  </si>
  <si>
    <t>0.3</t>
  </si>
  <si>
    <t>Document cross-schema dependencies (Supplier, Client, BU, Project, ProjectLine, Item), confirm Identity/JWT sharing, confirm SignalR, document needed API calls</t>
  </si>
  <si>
    <t>0.4</t>
  </si>
  <si>
    <t>Solution Structure Setup</t>
  </si>
  <si>
    <t>Phase 0 Subtotal</t>
  </si>
  <si>
    <t>Phase 1 — Core VCI Platform (without AI)</t>
  </si>
  <si>
    <t>1.1</t>
  </si>
  <si>
    <t>1.1a</t>
  </si>
  <si>
    <t>Creator Entity Layer</t>
  </si>
  <si>
    <t>CreatorSocialMetrics, CreatorRateCard, CreatorTravelCosts, CreatorBrandConflict, CreatorTierConfig, SavedSearch, DeliverableWeightConfig, DeliverableTitleMapping entities + EF migrations</t>
  </si>
  <si>
    <t>1.1b</t>
  </si>
  <si>
    <t>Creator API Endpoints</t>
  </si>
  <si>
    <t>All /api/v1/creators/* endpoints: CRUD, search, filters, import, rate cards, travel costs, brand conflicts, tier config, weights, mappings, saved searches, data completion</t>
  </si>
  <si>
    <t>1.1c</t>
  </si>
  <si>
    <t>Social Data Integration</t>
  </si>
  <si>
    <t>Social Blade wiring to CreatorSocialMetrics, Phyllo public data client, Apify fallback, nightly batch job, on-demand refresh</t>
  </si>
  <si>
    <t>1.1d</t>
  </si>
  <si>
    <t>1.1e</t>
  </si>
  <si>
    <t>Rate card tab in creator detail (CRUD, base/min/max, AED/USD toggle), bulk rate review/approval screen, deliverable weight config page, title mapping page</t>
  </si>
  <si>
    <t>1.1f</t>
  </si>
  <si>
    <t>Rate Calculation Engine</t>
  </si>
  <si>
    <t>Historical rate calculation from PM ProjectLine data, deliverable title mapping (auto + manual), weight matrix decomposition, currency normalization, scheduled recalculation</t>
  </si>
  <si>
    <t>1.1g</t>
  </si>
  <si>
    <t>1.1h</t>
  </si>
  <si>
    <t>1.2</t>
  </si>
  <si>
    <t>1.2a</t>
  </si>
  <si>
    <t>Proposal Entity Layer</t>
  </si>
  <si>
    <t>Proposal, ProposalLine, ProposalApproval, ProposalTemplate, ApprovalMatrix entities + EF migrations</t>
  </si>
  <si>
    <t>1.2b</t>
  </si>
  <si>
    <t>Proposal API Endpoints</t>
  </si>
  <si>
    <t>All /api/v1/proposals/* endpoints: CRUD, duplicate, approval actions, won/lost, create-project, document versions. Templates, approval matrix endpoints</t>
  </si>
  <si>
    <t>1.2c</t>
  </si>
  <si>
    <t>1.2d</t>
  </si>
  <si>
    <t>Document Generation</t>
  </si>
  <si>
    <t>PDF/Word proposal generation using BU templates, multi-language (EN/AR/EN+AR sequential), Azure Blob versioned storage, document preview/download</t>
  </si>
  <si>
    <t>1.2e</t>
  </si>
  <si>
    <t>Approval Workflow</t>
  </si>
  <si>
    <t>Configurable approval matrix (per BU + deal size), multi-step sequential approval, Approve/Reject/RequestChanges with comments, email + in-app notifications</t>
  </si>
  <si>
    <t>1.2f</t>
  </si>
  <si>
    <t>Status transitions (Draft to Won/Lost), won deal tracking (ActualRevenue, WonDate), lost reason, Create Project from Proposal, duplicate, reference numbers</t>
  </si>
  <si>
    <t>1.3</t>
  </si>
  <si>
    <t>1.3a</t>
  </si>
  <si>
    <t>Pipeline Dashboard</t>
  </si>
  <si>
    <t>1.3b</t>
  </si>
  <si>
    <t>Deals View</t>
  </si>
  <si>
    <t>Won proposals grouped by client (accordion), KPI cards, revenue by year, inline editing (notes, actual revenue), Create Project button, link to proposal</t>
  </si>
  <si>
    <t>Pattern Analysis</t>
  </si>
  <si>
    <t>Repeat creators detection, client tier preferences, highest value creators, category trends, win rates by BU/tier/category</t>
  </si>
  <si>
    <t>1.3d</t>
  </si>
  <si>
    <t>Excel Export</t>
  </si>
  <si>
    <t>Dashboard data export to Excel across all views</t>
  </si>
  <si>
    <t>1.4</t>
  </si>
  <si>
    <t>1.4a</t>
  </si>
  <si>
    <t>Tier config, weight config, title mapping, template editor, approval matrix config, API key management, data completion overview, AI prompt placeholder (read-only)</t>
  </si>
  <si>
    <t>Phase 1 Subtotal</t>
  </si>
  <si>
    <t>Phase 2 — AI Integration</t>
  </si>
  <si>
    <t>2</t>
  </si>
  <si>
    <t>2.1</t>
  </si>
  <si>
    <t>Claude API Service Layer</t>
  </si>
  <si>
    <t>Claude Sonnet + Haiku API client, authentication, error handling, retry logic, token usage tracking</t>
  </si>
  <si>
    <t>2.2</t>
  </si>
  <si>
    <t>AI Brief Expansion</t>
  </si>
  <si>
    <t>Replace placeholder: rough brief to structured brief (audience, categories, tiers, tone) via Sonnet</t>
  </si>
  <si>
    <t>2.3</t>
  </si>
  <si>
    <t>AI Creator Ranking</t>
  </si>
  <si>
    <t>Replace placeholder: brief + roster to scored shortlist with justifications via Sonnet</t>
  </si>
  <si>
    <t>2.4</t>
  </si>
  <si>
    <t>AI Deliverable Recommendation</t>
  </si>
  <si>
    <t>AI suggests deliverables per creator based on campaign objectives</t>
  </si>
  <si>
    <t>2.5</t>
  </si>
  <si>
    <t>AI Narrative Generation</t>
  </si>
  <si>
    <t>Replace placeholder: generates professional proposal narrative (EN/AR/EN+AR) via Sonnet</t>
  </si>
  <si>
    <t>2.6</t>
  </si>
  <si>
    <t>Maker/Checker Validation</t>
  </si>
  <si>
    <t>Haiku audits all Sonnet outputs against raw DB data, &gt;10% mismatch = human review flag</t>
  </si>
  <si>
    <t>2.7</t>
  </si>
  <si>
    <t>Campaign Memory Builder</t>
  </si>
  <si>
    <t>Service aggregates won proposals as context for Claude recommendations</t>
  </si>
  <si>
    <t>2.8</t>
  </si>
  <si>
    <t>Prompt Version Control</t>
  </si>
  <si>
    <t>AiPromptVersion entity fully active, admin CRUD, version promotion, 5 predefined prompts seeded</t>
  </si>
  <si>
    <t>AI Integration Testing</t>
  </si>
  <si>
    <t>End-to-end testing of all AI flows, Maker/Checker accuracy validation, prompt tuning</t>
  </si>
  <si>
    <t>Phase 2 Subtotal</t>
  </si>
  <si>
    <t>Phase 3 — Enhancements</t>
  </si>
  <si>
    <t>3</t>
  </si>
  <si>
    <t>3.1</t>
  </si>
  <si>
    <t>HypeAuditor Integration</t>
  </si>
  <si>
    <t>Audience quality API, fake follower detection, credibility scoring, badge display</t>
  </si>
  <si>
    <t>3.2</t>
  </si>
  <si>
    <t>Advanced Deliverable Types</t>
  </si>
  <si>
    <t>Expand from 4 to 8 types (SocialPost, StoryPackage, BrandAmbassador, ExclusivityFee), update rate cards, weights, mappings</t>
  </si>
  <si>
    <t>3.3</t>
  </si>
  <si>
    <t>Phyllo Full Auth</t>
  </si>
  <si>
    <t>Creator-authenticated OAuth flow, audience demographics collection, webhook real-time refresh</t>
  </si>
  <si>
    <t>3.4</t>
  </si>
  <si>
    <t>Redis Caching</t>
  </si>
  <si>
    <t>Brief embeddings cache (7 days), creator profiles cache (24 hours), cache-before-AI strategy</t>
  </si>
  <si>
    <t>3.5</t>
  </si>
  <si>
    <t>Cosine Similarity Scoring</t>
  </si>
  <si>
    <t>Vector embeddings for briefs and creator profiles, semantic matching for recommendations</t>
  </si>
  <si>
    <t>3.6</t>
  </si>
  <si>
    <t>Token Budget Enforcement</t>
  </si>
  <si>
    <t>Alert at 70% usage, hard stop at 100%, cost reporting dashboard, per-BU tracking</t>
  </si>
  <si>
    <t>3.7</t>
  </si>
  <si>
    <t>Prompt Eval Sets</t>
  </si>
  <si>
    <t>Evaluation dataset creation, automated prompt testing, regression detection</t>
  </si>
  <si>
    <t>3.8</t>
  </si>
  <si>
    <t>Sentry Monitoring</t>
  </si>
  <si>
    <t>Error tracking for API and AI failures, alert routing, performance monitoring</t>
  </si>
  <si>
    <t>3.9</t>
  </si>
  <si>
    <t>Advanced Approval Workflows</t>
  </si>
  <si>
    <t>Multi-path approvals, delegation, escalation, conditional routing</t>
  </si>
  <si>
    <t>3.10</t>
  </si>
  <si>
    <t>Arabic RTL UI</t>
  </si>
  <si>
    <t>3.11</t>
  </si>
  <si>
    <t>Auto-Discovery</t>
  </si>
  <si>
    <t>Weekly Apify scraping for new creators matching target categories, review queue</t>
  </si>
  <si>
    <t>3.12</t>
  </si>
  <si>
    <t>Predictive Revenue Forecasting</t>
  </si>
  <si>
    <t>AI-driven pipeline forecasting from historical data, confidence intervals, dashboard widget</t>
  </si>
  <si>
    <t>3.13</t>
  </si>
  <si>
    <t>Client Self-Serve Portal</t>
  </si>
  <si>
    <t>Separate API layer, SAS token document sharing, client authentication, client dashboard</t>
  </si>
  <si>
    <t>Phase 3 Subtotal</t>
  </si>
  <si>
    <t>PROJECT TOTAL</t>
  </si>
  <si>
    <t>#</t>
  </si>
  <si>
    <t>Question</t>
  </si>
  <si>
    <t>Owner</t>
  </si>
  <si>
    <t>Status</t>
  </si>
  <si>
    <t>Priority</t>
  </si>
  <si>
    <t>Target Phase</t>
  </si>
  <si>
    <t>Notes</t>
  </si>
  <si>
    <t>Social Blade API tier and rate limits — confirm plan details</t>
  </si>
  <si>
    <t>Ghassan</t>
  </si>
  <si>
    <t>Open</t>
  </si>
  <si>
    <t>High</t>
  </si>
  <si>
    <t>Phase 0</t>
  </si>
  <si>
    <t>Specific Apify actors per platform + budget constraints</t>
  </si>
  <si>
    <t>Medium</t>
  </si>
  <si>
    <t>Phase 1</t>
  </si>
  <si>
    <t>Full list of 10 business unit names and codes</t>
  </si>
  <si>
    <t>Comms Visioneers</t>
  </si>
  <si>
    <t>Approval chain definitions per BU — who approves, deal size thresholds</t>
  </si>
  <si>
    <t>BU template branding assets delivery timeline (logos, colors, fonts)</t>
  </si>
  <si>
    <t>Creator data privacy / consent — legal review needed before client portal</t>
  </si>
  <si>
    <t>Low</t>
  </si>
  <si>
    <t>Phase 3</t>
  </si>
  <si>
    <t>Deliverable types: 4 simple (Phase 1) or expand to 8? Client to confirm</t>
  </si>
  <si>
    <t>Phase 1/3</t>
  </si>
  <si>
    <t>Phyllo pricing tier + per-creator costs</t>
  </si>
  <si>
    <t>Confirm Item master has entries for deliverable types or seed needed</t>
  </si>
  <si>
    <t>Claude API budget cap — monthly limit for AI features</t>
  </si>
  <si>
    <t>Phase 2</t>
  </si>
  <si>
    <t>PM ProjectLine cost field confirmation — which field stores per-creator cost?</t>
  </si>
  <si>
    <t>Confirmed: ProjectLine.Cost</t>
  </si>
  <si>
    <t>Assumption</t>
  </si>
  <si>
    <t>Impact if Wrong</t>
  </si>
  <si>
    <t>Existing creator data in VPortal Supplier table is accurate and serves as initial roster</t>
  </si>
  <si>
    <t>Need data cleanup before launch; delay Phase 1</t>
  </si>
  <si>
    <t>Assumed</t>
  </si>
  <si>
    <t>Social Blade API key is available and active with sufficient rate limits</t>
  </si>
  <si>
    <t>Social metrics unavailable until key provisioned</t>
  </si>
  <si>
    <t>Confirmed</t>
  </si>
  <si>
    <t>Need custom auth implementation; delay Phase 0</t>
  </si>
  <si>
    <t>To Verify</t>
  </si>
  <si>
    <t>Phyllo account will be set up before Phase 1 development</t>
  </si>
  <si>
    <t>Social data limited to Social Blade only; reduced quality</t>
  </si>
  <si>
    <t>Claude API subscription provisioned before Phase 2</t>
  </si>
  <si>
    <t>AI features cannot be tested or deployed</t>
  </si>
  <si>
    <t>Visioneers will provide BU branding assets (logos, colors, fonts) before Phase 1 proposal module</t>
  </si>
  <si>
    <t>Default template only; BU-specific templates delayed</t>
  </si>
  <si>
    <t>Visioneers will define approval chain configurations before Phase 1</t>
  </si>
  <si>
    <t>Approval workflow ships with placeholder/default config</t>
  </si>
  <si>
    <t>Historical PM project data contains sufficient creator cost and deliverable info for rate calculation</t>
  </si>
  <si>
    <t>Rate calculation produces inaccurate or no results; manual only</t>
  </si>
  <si>
    <t>Internal teams work primarily in English; Arabic needed for proposals only</t>
  </si>
  <si>
    <t>Arabic RTL UI needed earlier than Phase 3</t>
  </si>
  <si>
    <t>All</t>
  </si>
  <si>
    <t>Claude Code (AI-assisted development) significantly accelerates development velocity</t>
  </si>
  <si>
    <t>Timeline estimates may be optimistic</t>
  </si>
  <si>
    <t>VPortal Admin/Manager/Viewer role structure maps to VCI RBAC needs</t>
  </si>
  <si>
    <t>Need custom role definitions; additional auth work</t>
  </si>
  <si>
    <t>Azure Blob Storage is already provisioned and accessible from VPortal API</t>
  </si>
  <si>
    <t>Need new storage account setup; delay Phase 0</t>
  </si>
  <si>
    <t>All IP (code, data, AI prompts) belongs to Visioneers from day one</t>
  </si>
  <si>
    <t>Contract/legal review needed</t>
  </si>
  <si>
    <t>VPortal API preperation</t>
  </si>
  <si>
    <t>GS: already working on it for AI integration</t>
  </si>
  <si>
    <t>Backend module structure, React app scaffold (Vite/MUI6), wire auth, Azure Blob containers, CI/CD pipeline</t>
  </si>
  <si>
    <t>Assign to</t>
  </si>
  <si>
    <t>Mansour</t>
  </si>
  <si>
    <t>Barzan</t>
  </si>
  <si>
    <t>AI</t>
  </si>
  <si>
    <t>Dev X</t>
  </si>
  <si>
    <t>Bulk Import Creator</t>
  </si>
  <si>
    <t xml:space="preserve">CSV/Excel import with template download, validation, preview, error reporting, auto social fetch. </t>
  </si>
  <si>
    <t>Ghassan/Dev X</t>
  </si>
  <si>
    <t>Roster list view with filters + free text search, saved search presets, creator detail view (profile, social metrics, social links), Data completion tracker (21 fields, fill rates, color-coded), Media kit upload + storage</t>
  </si>
  <si>
    <t>Travel costs CRUD for non-UAE creators</t>
  </si>
  <si>
    <t xml:space="preserve">Travel Costs </t>
  </si>
  <si>
    <t>Creator Roster</t>
  </si>
  <si>
    <t xml:space="preserve">Rate Card </t>
  </si>
  <si>
    <t>Proposal Creation</t>
  </si>
  <si>
    <t>Campaign brief input form (client lookup, BU, budget, platforms, language), manual creator selection from roster, deliverable entry per line, pricing (Amount/Cost/Percentage/Travel), (AI placeholder for phase 2)</t>
  </si>
  <si>
    <t>Proposal Lifecycle</t>
  </si>
  <si>
    <t>Admin</t>
  </si>
  <si>
    <t>Proposal (count + value by status), revenue by client chart, revenue by year chart, role-based views (TM/BU Head/Executive), financial restrictions</t>
  </si>
  <si>
    <t>1.5a</t>
  </si>
  <si>
    <t>Test Phase 1</t>
  </si>
  <si>
    <t xml:space="preserve">QA test phase 1 </t>
  </si>
  <si>
    <t>QA X</t>
  </si>
  <si>
    <t>Creator Feature</t>
  </si>
  <si>
    <t>Proposal Feature</t>
  </si>
  <si>
    <t>Dashboard &amp; Reporting</t>
  </si>
  <si>
    <t>Testing</t>
  </si>
  <si>
    <t>Will start on it while working on after 2 weeks from phase 1</t>
  </si>
  <si>
    <t>Full Arabic language support in frontend, RTL layout, translated labels and database</t>
  </si>
  <si>
    <t>UI/Ghassan/Dev X</t>
  </si>
  <si>
    <t>Test Phase 2</t>
  </si>
  <si>
    <t>QA testing Phase 2</t>
  </si>
  <si>
    <t>List of Role allowed in VCI?</t>
  </si>
  <si>
    <t>VPortal Identity module will be used to authenticate VCI</t>
  </si>
  <si>
    <t>Will use same database and Application service in azure for Vportal so there is no additional cost for hosting</t>
  </si>
  <si>
    <t>Hosting in Azure</t>
  </si>
  <si>
    <t>What is the different between Deal and Proposal ?</t>
  </si>
  <si>
    <t>Is Each BU have different workflow for approval ?</t>
  </si>
  <si>
    <t>Should add Admin UI to be part of Portal ?</t>
  </si>
  <si>
    <t>Do you need to support Brand Conflict so a creator can't be selected if already used with a competitor client?</t>
  </si>
  <si>
    <t>We do have project VSupplier where a supplier/creator can access their data and see all projects linked with them and see all payments and pending payments for each project. Will this be updated too with Creator DB?</t>
  </si>
  <si>
    <t>For a creator, we can have an Agent that manages him/her. Do we care about the agent? Setup already used in VPortal?</t>
  </si>
  <si>
    <t>For the Client Portal, what are the requirements — is it only to create a quotation, and then VCI Portal will verify?</t>
  </si>
  <si>
    <t>Why do we need to have a separate instance with a different URL?</t>
  </si>
  <si>
    <t>Flat Cost Per Hour</t>
  </si>
  <si>
    <t>Hours per day</t>
  </si>
  <si>
    <t>Hour per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</si>
</sst>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AED&quot;* #,##0.00_);_(&quot;AED&quot;* \(#,##0.00\);_(&quot;AED&quot;* &quot;-&quot;??_);_(@_)"/>
    <numFmt numFmtId="164" formatCode="\$#,##0"/>
    <numFmt numFmtId="165" formatCode="0.0"/>
    <numFmt numFmtId="166" formatCode="&quot;AED&quot;#,##0"/>
    <numFmt numFmtId="167" formatCode="&quot;AED&quot;#,##0.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165" fontId="3" fillId="3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 wrapText="1"/>
    </xf>
    <xf numFmtId="165" fontId="1" fillId="4" borderId="1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right" vertical="center"/>
    </xf>
    <xf numFmtId="165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right" vertical="center"/>
    </xf>
    <xf numFmtId="165" fontId="2" fillId="0" borderId="4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 wrapText="1"/>
    </xf>
    <xf numFmtId="166" fontId="3" fillId="5" borderId="1" xfId="0" applyNumberFormat="1" applyFont="1" applyFill="1" applyBorder="1" applyAlignment="1">
      <alignment horizontal="right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4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49" fontId="5" fillId="5" borderId="1" xfId="0" applyNumberFormat="1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0" fontId="6" fillId="6" borderId="5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/>
    </xf>
    <xf numFmtId="167" fontId="2" fillId="0" borderId="1" xfId="0" applyNumberFormat="1" applyFont="1" applyBorder="1" applyAlignment="1">
      <alignment horizontal="right" vertical="center"/>
    </xf>
    <xf numFmtId="44" fontId="3" fillId="3" borderId="1" xfId="0" applyNumberFormat="1" applyFont="1" applyFill="1" applyBorder="1" applyAlignment="1">
      <alignment horizontal="right" vertical="center"/>
    </xf>
    <xf numFmtId="44" fontId="1" fillId="4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4501AF-2A3F-004C-97BA-0DFEBD0F9AF3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cc600b14-afb4-4bb6-9718-6e212cdb82c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A49" zoomScale="140" workbookViewId="0">
      <pane xSplit="1" topLeftCell="B1" activePane="topRight" state="frozen"/>
      <selection pane="topRight" activeCell="E36" sqref="E36"/>
    </sheetView>
  </sheetViews>
  <sheetFormatPr baseColWidth="10" defaultColWidth="8.83203125" defaultRowHeight="15" outlineLevelRow="1" x14ac:dyDescent="0.2"/>
  <cols>
    <col min="1" max="1" width="28.83203125" customWidth="1"/>
    <col min="2" max="2" width="10" customWidth="1"/>
    <col min="3" max="3" width="30" customWidth="1"/>
    <col min="4" max="5" width="65" customWidth="1"/>
    <col min="6" max="9" width="12" customWidth="1"/>
    <col min="10" max="10" width="15" customWidth="1"/>
    <col min="11" max="11" width="25" style="1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207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6" t="s">
        <v>9</v>
      </c>
    </row>
    <row r="2" spans="1:11" x14ac:dyDescent="0.2">
      <c r="A2" s="49" t="s">
        <v>10</v>
      </c>
      <c r="B2" s="49"/>
      <c r="C2" s="49"/>
      <c r="D2" s="49"/>
      <c r="E2" s="49"/>
      <c r="F2" s="50"/>
      <c r="G2" s="50"/>
      <c r="H2" s="50"/>
      <c r="I2" s="50"/>
      <c r="J2" s="50"/>
      <c r="K2" s="50"/>
    </row>
    <row r="3" spans="1:11" ht="45" x14ac:dyDescent="0.2">
      <c r="A3" s="3"/>
      <c r="B3" s="3" t="s">
        <v>11</v>
      </c>
      <c r="C3" s="3" t="s">
        <v>12</v>
      </c>
      <c r="D3" s="3" t="s">
        <v>13</v>
      </c>
      <c r="E3" s="3" t="s">
        <v>208</v>
      </c>
      <c r="F3" s="4">
        <v>8</v>
      </c>
      <c r="G3" s="5">
        <f t="shared" ref="G3:G8" si="0">F3*0.2</f>
        <v>1.6</v>
      </c>
      <c r="H3" s="5">
        <f t="shared" ref="H3:H8" si="1">F3+G3</f>
        <v>9.6</v>
      </c>
      <c r="I3" s="5">
        <f t="shared" ref="I3:I8" si="2">H3/5</f>
        <v>1.92</v>
      </c>
      <c r="J3" s="46"/>
      <c r="K3" s="12"/>
    </row>
    <row r="4" spans="1:11" ht="30" x14ac:dyDescent="0.2">
      <c r="A4" s="3"/>
      <c r="B4" s="3" t="s">
        <v>14</v>
      </c>
      <c r="C4" s="3" t="s">
        <v>15</v>
      </c>
      <c r="D4" s="3" t="s">
        <v>16</v>
      </c>
      <c r="E4" s="3" t="s">
        <v>151</v>
      </c>
      <c r="F4" s="4">
        <v>2</v>
      </c>
      <c r="G4" s="5">
        <f t="shared" si="0"/>
        <v>0.4</v>
      </c>
      <c r="H4" s="5">
        <f t="shared" si="1"/>
        <v>2.4</v>
      </c>
      <c r="I4" s="5">
        <f t="shared" si="2"/>
        <v>0.48</v>
      </c>
      <c r="J4" s="6"/>
      <c r="K4" s="12"/>
    </row>
    <row r="5" spans="1:11" ht="45" x14ac:dyDescent="0.2">
      <c r="A5" s="3"/>
      <c r="B5" s="3" t="s">
        <v>17</v>
      </c>
      <c r="C5" s="3" t="s">
        <v>204</v>
      </c>
      <c r="D5" s="3" t="s">
        <v>18</v>
      </c>
      <c r="E5" s="3" t="s">
        <v>151</v>
      </c>
      <c r="F5" s="4">
        <v>0.2</v>
      </c>
      <c r="G5" s="5">
        <f t="shared" si="0"/>
        <v>4.0000000000000008E-2</v>
      </c>
      <c r="H5" s="5">
        <f t="shared" si="1"/>
        <v>0.24000000000000002</v>
      </c>
      <c r="I5" s="5">
        <f t="shared" si="2"/>
        <v>4.8000000000000001E-2</v>
      </c>
      <c r="J5" s="6"/>
      <c r="K5" s="12" t="s">
        <v>205</v>
      </c>
    </row>
    <row r="6" spans="1:11" ht="30" x14ac:dyDescent="0.2">
      <c r="A6" s="3"/>
      <c r="B6" s="3" t="s">
        <v>19</v>
      </c>
      <c r="C6" s="3" t="s">
        <v>20</v>
      </c>
      <c r="D6" s="3" t="s">
        <v>206</v>
      </c>
      <c r="E6" s="3" t="s">
        <v>209</v>
      </c>
      <c r="F6" s="4">
        <v>1</v>
      </c>
      <c r="G6" s="5">
        <f t="shared" si="0"/>
        <v>0.2</v>
      </c>
      <c r="H6" s="5">
        <f t="shared" si="1"/>
        <v>1.2</v>
      </c>
      <c r="I6" s="5">
        <f t="shared" si="2"/>
        <v>0.24</v>
      </c>
      <c r="J6" s="6"/>
      <c r="K6" s="12"/>
    </row>
    <row r="7" spans="1:11" x14ac:dyDescent="0.2">
      <c r="A7" s="3"/>
      <c r="B7" s="3">
        <v>0.5</v>
      </c>
      <c r="C7" s="3" t="s">
        <v>125</v>
      </c>
      <c r="D7" s="3" t="s">
        <v>126</v>
      </c>
      <c r="E7" s="3" t="s">
        <v>209</v>
      </c>
      <c r="F7" s="4">
        <v>0.5</v>
      </c>
      <c r="G7" s="5">
        <f t="shared" si="0"/>
        <v>0.1</v>
      </c>
      <c r="H7" s="5">
        <f t="shared" si="1"/>
        <v>0.6</v>
      </c>
      <c r="I7" s="5">
        <f t="shared" si="2"/>
        <v>0.12</v>
      </c>
      <c r="J7" s="6"/>
      <c r="K7" s="12"/>
    </row>
    <row r="8" spans="1:11" x14ac:dyDescent="0.2">
      <c r="A8" s="7"/>
      <c r="B8" s="7"/>
      <c r="C8" s="7" t="s">
        <v>21</v>
      </c>
      <c r="D8" s="7"/>
      <c r="E8" s="7"/>
      <c r="F8" s="8">
        <f>SUM(F3:F7)</f>
        <v>11.7</v>
      </c>
      <c r="G8" s="8">
        <f t="shared" si="0"/>
        <v>2.34</v>
      </c>
      <c r="H8" s="8">
        <f t="shared" si="1"/>
        <v>14.04</v>
      </c>
      <c r="I8" s="8">
        <f t="shared" si="2"/>
        <v>2.8079999999999998</v>
      </c>
      <c r="J8" s="47">
        <f>I8*Variables!$B$3*Variables!$B$1</f>
        <v>1965.6</v>
      </c>
      <c r="K8" s="13"/>
    </row>
    <row r="9" spans="1:11" x14ac:dyDescent="0.2">
      <c r="A9" s="51" t="s">
        <v>22</v>
      </c>
      <c r="B9" s="51"/>
      <c r="C9" s="51"/>
      <c r="D9" s="51"/>
      <c r="E9" s="51"/>
      <c r="F9" s="52"/>
      <c r="G9" s="52"/>
      <c r="H9" s="52"/>
      <c r="I9" s="52"/>
      <c r="J9" s="52"/>
      <c r="K9" s="52"/>
    </row>
    <row r="10" spans="1:11" ht="24" customHeight="1" x14ac:dyDescent="0.2">
      <c r="A10" s="37">
        <v>1.1000000000000001</v>
      </c>
      <c r="B10" s="38"/>
      <c r="C10" s="38" t="s">
        <v>229</v>
      </c>
      <c r="D10" s="38"/>
      <c r="E10" s="38"/>
      <c r="F10" s="39">
        <f>SUM(F11:F18)</f>
        <v>5.6</v>
      </c>
      <c r="G10" s="40">
        <f>SUM(G11:G18)</f>
        <v>1.1200000000000003</v>
      </c>
      <c r="H10" s="40">
        <f>SUM(H11:H18)</f>
        <v>6.72</v>
      </c>
      <c r="I10" s="40">
        <f>SUM(I11:I18)</f>
        <v>1.3439999999999999</v>
      </c>
      <c r="J10" s="41"/>
      <c r="K10" s="39"/>
    </row>
    <row r="11" spans="1:11" ht="45" outlineLevel="1" x14ac:dyDescent="0.2">
      <c r="A11" s="21" t="s">
        <v>23</v>
      </c>
      <c r="B11" s="21" t="s">
        <v>24</v>
      </c>
      <c r="C11" s="21" t="s">
        <v>25</v>
      </c>
      <c r="D11" s="21" t="s">
        <v>26</v>
      </c>
      <c r="E11" s="21" t="s">
        <v>210</v>
      </c>
      <c r="F11" s="22">
        <v>0.3</v>
      </c>
      <c r="G11" s="23">
        <f t="shared" ref="G11:G33" si="3">F11*0.2</f>
        <v>0.06</v>
      </c>
      <c r="H11" s="23">
        <f t="shared" ref="H11:H33" si="4">F11+G11</f>
        <v>0.36</v>
      </c>
      <c r="I11" s="23">
        <f t="shared" ref="I11:I33" si="5">H11/5</f>
        <v>7.1999999999999995E-2</v>
      </c>
      <c r="J11" s="24"/>
      <c r="K11" s="25"/>
    </row>
    <row r="12" spans="1:11" ht="45" outlineLevel="1" x14ac:dyDescent="0.2">
      <c r="A12" s="3" t="s">
        <v>23</v>
      </c>
      <c r="B12" s="3" t="s">
        <v>27</v>
      </c>
      <c r="C12" s="3" t="s">
        <v>28</v>
      </c>
      <c r="D12" s="3" t="s">
        <v>29</v>
      </c>
      <c r="E12" s="3" t="s">
        <v>210</v>
      </c>
      <c r="F12" s="4">
        <v>0.3</v>
      </c>
      <c r="G12" s="5">
        <f t="shared" si="3"/>
        <v>0.06</v>
      </c>
      <c r="H12" s="5">
        <f t="shared" si="4"/>
        <v>0.36</v>
      </c>
      <c r="I12" s="5">
        <f t="shared" si="5"/>
        <v>7.1999999999999995E-2</v>
      </c>
      <c r="J12" s="6"/>
      <c r="K12" s="12"/>
    </row>
    <row r="13" spans="1:11" ht="30" outlineLevel="1" x14ac:dyDescent="0.2">
      <c r="A13" s="3" t="s">
        <v>23</v>
      </c>
      <c r="B13" s="3" t="s">
        <v>30</v>
      </c>
      <c r="C13" s="3" t="s">
        <v>31</v>
      </c>
      <c r="D13" s="3" t="s">
        <v>32</v>
      </c>
      <c r="E13" s="3" t="s">
        <v>211</v>
      </c>
      <c r="F13" s="4">
        <v>1.2</v>
      </c>
      <c r="G13" s="5">
        <f t="shared" si="3"/>
        <v>0.24</v>
      </c>
      <c r="H13" s="5">
        <f t="shared" si="4"/>
        <v>1.44</v>
      </c>
      <c r="I13" s="5">
        <f t="shared" si="5"/>
        <v>0.28799999999999998</v>
      </c>
      <c r="J13" s="6"/>
      <c r="K13" s="12"/>
    </row>
    <row r="14" spans="1:11" ht="45" outlineLevel="1" x14ac:dyDescent="0.2">
      <c r="A14" s="3" t="s">
        <v>23</v>
      </c>
      <c r="B14" s="3" t="s">
        <v>33</v>
      </c>
      <c r="C14" s="3" t="s">
        <v>218</v>
      </c>
      <c r="D14" s="3" t="s">
        <v>215</v>
      </c>
      <c r="E14" s="3" t="s">
        <v>211</v>
      </c>
      <c r="F14" s="4">
        <v>1</v>
      </c>
      <c r="G14" s="5">
        <f t="shared" si="3"/>
        <v>0.2</v>
      </c>
      <c r="H14" s="5">
        <f t="shared" si="4"/>
        <v>1.2</v>
      </c>
      <c r="I14" s="5">
        <f t="shared" si="5"/>
        <v>0.24</v>
      </c>
      <c r="J14" s="6"/>
      <c r="K14" s="12"/>
    </row>
    <row r="15" spans="1:11" ht="45" outlineLevel="1" x14ac:dyDescent="0.2">
      <c r="A15" s="3" t="s">
        <v>23</v>
      </c>
      <c r="B15" s="3" t="s">
        <v>34</v>
      </c>
      <c r="C15" s="3" t="s">
        <v>219</v>
      </c>
      <c r="D15" s="3" t="s">
        <v>35</v>
      </c>
      <c r="E15" s="3" t="s">
        <v>211</v>
      </c>
      <c r="F15" s="4">
        <v>0.8</v>
      </c>
      <c r="G15" s="5">
        <f t="shared" si="3"/>
        <v>0.16000000000000003</v>
      </c>
      <c r="H15" s="5">
        <f t="shared" si="4"/>
        <v>0.96000000000000008</v>
      </c>
      <c r="I15" s="5">
        <f t="shared" si="5"/>
        <v>0.192</v>
      </c>
      <c r="J15" s="6"/>
      <c r="K15" s="12"/>
    </row>
    <row r="16" spans="1:11" ht="45" outlineLevel="1" x14ac:dyDescent="0.2">
      <c r="A16" s="3" t="s">
        <v>23</v>
      </c>
      <c r="B16" s="3" t="s">
        <v>36</v>
      </c>
      <c r="C16" s="3" t="s">
        <v>37</v>
      </c>
      <c r="D16" s="3" t="s">
        <v>38</v>
      </c>
      <c r="E16" s="3" t="s">
        <v>214</v>
      </c>
      <c r="F16" s="4">
        <v>1</v>
      </c>
      <c r="G16" s="5">
        <f t="shared" si="3"/>
        <v>0.2</v>
      </c>
      <c r="H16" s="5">
        <f t="shared" si="4"/>
        <v>1.2</v>
      </c>
      <c r="I16" s="5">
        <f t="shared" si="5"/>
        <v>0.24</v>
      </c>
      <c r="J16" s="6"/>
      <c r="K16" s="12"/>
    </row>
    <row r="17" spans="1:11" ht="30" outlineLevel="1" x14ac:dyDescent="0.2">
      <c r="A17" s="3" t="s">
        <v>23</v>
      </c>
      <c r="B17" s="3" t="s">
        <v>39</v>
      </c>
      <c r="C17" s="3" t="s">
        <v>212</v>
      </c>
      <c r="D17" s="3" t="s">
        <v>213</v>
      </c>
      <c r="E17" s="3" t="s">
        <v>211</v>
      </c>
      <c r="F17" s="4">
        <v>0.5</v>
      </c>
      <c r="G17" s="5">
        <f t="shared" si="3"/>
        <v>0.1</v>
      </c>
      <c r="H17" s="5">
        <f t="shared" si="4"/>
        <v>0.6</v>
      </c>
      <c r="I17" s="5">
        <f t="shared" si="5"/>
        <v>0.12</v>
      </c>
      <c r="J17" s="6"/>
      <c r="K17" s="12"/>
    </row>
    <row r="18" spans="1:11" outlineLevel="1" x14ac:dyDescent="0.2">
      <c r="A18" s="27" t="s">
        <v>23</v>
      </c>
      <c r="B18" s="27" t="s">
        <v>40</v>
      </c>
      <c r="C18" s="27" t="s">
        <v>217</v>
      </c>
      <c r="D18" s="27" t="s">
        <v>216</v>
      </c>
      <c r="E18" s="27" t="s">
        <v>211</v>
      </c>
      <c r="F18" s="28">
        <v>0.5</v>
      </c>
      <c r="G18" s="29">
        <f t="shared" si="3"/>
        <v>0.1</v>
      </c>
      <c r="H18" s="29">
        <f t="shared" si="4"/>
        <v>0.6</v>
      </c>
      <c r="I18" s="29">
        <f t="shared" si="5"/>
        <v>0.12</v>
      </c>
      <c r="J18" s="30"/>
      <c r="K18" s="31"/>
    </row>
    <row r="19" spans="1:11" x14ac:dyDescent="0.2">
      <c r="A19" s="36">
        <v>1.2</v>
      </c>
      <c r="B19" s="17"/>
      <c r="C19" s="17" t="s">
        <v>230</v>
      </c>
      <c r="D19" s="17"/>
      <c r="E19" s="17"/>
      <c r="F19" s="18">
        <f>SUM(F20:F25)</f>
        <v>4.5</v>
      </c>
      <c r="G19" s="19">
        <f>SUM(G20:G25)</f>
        <v>0.90000000000000013</v>
      </c>
      <c r="H19" s="19">
        <f>SUM(H20:H25)</f>
        <v>5.3999999999999995</v>
      </c>
      <c r="I19" s="19">
        <f>SUM(I20:I25)</f>
        <v>1.08</v>
      </c>
      <c r="J19" s="26"/>
      <c r="K19" s="20"/>
    </row>
    <row r="20" spans="1:11" ht="30" outlineLevel="1" x14ac:dyDescent="0.2">
      <c r="A20" s="21" t="s">
        <v>41</v>
      </c>
      <c r="B20" s="21" t="s">
        <v>42</v>
      </c>
      <c r="C20" s="21" t="s">
        <v>43</v>
      </c>
      <c r="D20" s="21" t="s">
        <v>44</v>
      </c>
      <c r="E20" s="21" t="s">
        <v>210</v>
      </c>
      <c r="F20" s="22">
        <v>0.3</v>
      </c>
      <c r="G20" s="23">
        <f t="shared" si="3"/>
        <v>0.06</v>
      </c>
      <c r="H20" s="23">
        <f t="shared" si="4"/>
        <v>0.36</v>
      </c>
      <c r="I20" s="23">
        <f t="shared" si="5"/>
        <v>7.1999999999999995E-2</v>
      </c>
      <c r="J20" s="24"/>
      <c r="K20" s="25"/>
    </row>
    <row r="21" spans="1:11" ht="30" outlineLevel="1" x14ac:dyDescent="0.2">
      <c r="A21" s="3" t="s">
        <v>41</v>
      </c>
      <c r="B21" s="3" t="s">
        <v>45</v>
      </c>
      <c r="C21" s="3" t="s">
        <v>46</v>
      </c>
      <c r="D21" s="3" t="s">
        <v>47</v>
      </c>
      <c r="E21" s="3" t="s">
        <v>210</v>
      </c>
      <c r="F21" s="4">
        <v>0.4</v>
      </c>
      <c r="G21" s="5">
        <f t="shared" si="3"/>
        <v>8.0000000000000016E-2</v>
      </c>
      <c r="H21" s="5">
        <f t="shared" si="4"/>
        <v>0.48000000000000004</v>
      </c>
      <c r="I21" s="5">
        <f t="shared" si="5"/>
        <v>9.6000000000000002E-2</v>
      </c>
      <c r="J21" s="6"/>
      <c r="K21" s="12"/>
    </row>
    <row r="22" spans="1:11" ht="45" outlineLevel="1" x14ac:dyDescent="0.2">
      <c r="A22" s="3" t="s">
        <v>41</v>
      </c>
      <c r="B22" s="3" t="s">
        <v>48</v>
      </c>
      <c r="C22" s="3" t="s">
        <v>220</v>
      </c>
      <c r="D22" s="3" t="s">
        <v>221</v>
      </c>
      <c r="E22" s="3" t="s">
        <v>211</v>
      </c>
      <c r="F22" s="4">
        <v>1.5</v>
      </c>
      <c r="G22" s="5">
        <f t="shared" si="3"/>
        <v>0.30000000000000004</v>
      </c>
      <c r="H22" s="5">
        <f t="shared" si="4"/>
        <v>1.8</v>
      </c>
      <c r="I22" s="5">
        <f t="shared" si="5"/>
        <v>0.36</v>
      </c>
      <c r="J22" s="6"/>
      <c r="K22" s="12"/>
    </row>
    <row r="23" spans="1:11" ht="45" outlineLevel="1" x14ac:dyDescent="0.2">
      <c r="A23" s="3" t="s">
        <v>41</v>
      </c>
      <c r="B23" s="3" t="s">
        <v>49</v>
      </c>
      <c r="C23" s="3" t="s">
        <v>50</v>
      </c>
      <c r="D23" s="3" t="s">
        <v>51</v>
      </c>
      <c r="E23" s="3" t="s">
        <v>211</v>
      </c>
      <c r="F23" s="4">
        <v>1</v>
      </c>
      <c r="G23" s="5">
        <f t="shared" si="3"/>
        <v>0.2</v>
      </c>
      <c r="H23" s="5">
        <f t="shared" si="4"/>
        <v>1.2</v>
      </c>
      <c r="I23" s="5">
        <f t="shared" si="5"/>
        <v>0.24</v>
      </c>
      <c r="J23" s="6"/>
      <c r="K23" s="12"/>
    </row>
    <row r="24" spans="1:11" ht="45" outlineLevel="1" x14ac:dyDescent="0.2">
      <c r="A24" s="3" t="s">
        <v>41</v>
      </c>
      <c r="B24" s="3" t="s">
        <v>52</v>
      </c>
      <c r="C24" s="3" t="s">
        <v>53</v>
      </c>
      <c r="D24" s="3" t="s">
        <v>54</v>
      </c>
      <c r="E24" s="3" t="s">
        <v>211</v>
      </c>
      <c r="F24" s="4">
        <v>0.5</v>
      </c>
      <c r="G24" s="5">
        <f t="shared" si="3"/>
        <v>0.1</v>
      </c>
      <c r="H24" s="5">
        <f t="shared" si="4"/>
        <v>0.6</v>
      </c>
      <c r="I24" s="5">
        <f t="shared" si="5"/>
        <v>0.12</v>
      </c>
      <c r="J24" s="6"/>
      <c r="K24" s="12"/>
    </row>
    <row r="25" spans="1:11" ht="45" outlineLevel="1" x14ac:dyDescent="0.2">
      <c r="A25" s="27" t="s">
        <v>41</v>
      </c>
      <c r="B25" s="27" t="s">
        <v>55</v>
      </c>
      <c r="C25" s="27" t="s">
        <v>222</v>
      </c>
      <c r="D25" s="27" t="s">
        <v>56</v>
      </c>
      <c r="E25" s="27" t="s">
        <v>211</v>
      </c>
      <c r="F25" s="28">
        <v>0.8</v>
      </c>
      <c r="G25" s="29">
        <f t="shared" si="3"/>
        <v>0.16000000000000003</v>
      </c>
      <c r="H25" s="29">
        <f t="shared" si="4"/>
        <v>0.96000000000000008</v>
      </c>
      <c r="I25" s="29">
        <f t="shared" si="5"/>
        <v>0.192</v>
      </c>
      <c r="J25" s="30"/>
      <c r="K25" s="31"/>
    </row>
    <row r="26" spans="1:11" x14ac:dyDescent="0.2">
      <c r="A26" s="36">
        <v>1.3</v>
      </c>
      <c r="B26" s="17"/>
      <c r="C26" s="17" t="s">
        <v>231</v>
      </c>
      <c r="D26" s="17"/>
      <c r="E26" s="17"/>
      <c r="F26" s="18">
        <f>SUM(F27:F29)</f>
        <v>3.2</v>
      </c>
      <c r="G26" s="19">
        <f>SUM(G27:G29)</f>
        <v>0.64</v>
      </c>
      <c r="H26" s="19">
        <f>SUM(H27:H29)</f>
        <v>3.8400000000000003</v>
      </c>
      <c r="I26" s="19">
        <f>SUM(I27:I29)</f>
        <v>0.7679999999999999</v>
      </c>
      <c r="J26" s="26"/>
      <c r="K26" s="20"/>
    </row>
    <row r="27" spans="1:11" ht="30" hidden="1" outlineLevel="1" x14ac:dyDescent="0.2">
      <c r="A27" s="21" t="s">
        <v>57</v>
      </c>
      <c r="B27" s="21" t="s">
        <v>58</v>
      </c>
      <c r="C27" s="21" t="s">
        <v>59</v>
      </c>
      <c r="D27" s="21" t="s">
        <v>224</v>
      </c>
      <c r="E27" s="21" t="s">
        <v>211</v>
      </c>
      <c r="F27" s="22">
        <v>1.5</v>
      </c>
      <c r="G27" s="23">
        <f t="shared" si="3"/>
        <v>0.30000000000000004</v>
      </c>
      <c r="H27" s="23">
        <f t="shared" si="4"/>
        <v>1.8</v>
      </c>
      <c r="I27" s="23">
        <f t="shared" si="5"/>
        <v>0.36</v>
      </c>
      <c r="J27" s="24"/>
      <c r="K27" s="25"/>
    </row>
    <row r="28" spans="1:11" ht="30" hidden="1" outlineLevel="1" x14ac:dyDescent="0.2">
      <c r="A28" s="3" t="s">
        <v>57</v>
      </c>
      <c r="B28" s="3" t="s">
        <v>60</v>
      </c>
      <c r="C28" s="3" t="s">
        <v>61</v>
      </c>
      <c r="D28" s="3" t="s">
        <v>62</v>
      </c>
      <c r="E28" s="3" t="s">
        <v>211</v>
      </c>
      <c r="F28" s="4">
        <v>1.2</v>
      </c>
      <c r="G28" s="5">
        <f t="shared" si="3"/>
        <v>0.24</v>
      </c>
      <c r="H28" s="5">
        <f t="shared" si="4"/>
        <v>1.44</v>
      </c>
      <c r="I28" s="5">
        <f t="shared" si="5"/>
        <v>0.28799999999999998</v>
      </c>
      <c r="J28" s="6"/>
      <c r="K28" s="12"/>
    </row>
    <row r="29" spans="1:11" hidden="1" outlineLevel="1" x14ac:dyDescent="0.2">
      <c r="A29" s="27" t="s">
        <v>57</v>
      </c>
      <c r="B29" s="27" t="s">
        <v>65</v>
      </c>
      <c r="C29" s="27" t="s">
        <v>66</v>
      </c>
      <c r="D29" s="27" t="s">
        <v>67</v>
      </c>
      <c r="E29" s="27" t="s">
        <v>211</v>
      </c>
      <c r="F29" s="28">
        <v>0.5</v>
      </c>
      <c r="G29" s="29">
        <f t="shared" si="3"/>
        <v>0.1</v>
      </c>
      <c r="H29" s="29">
        <f t="shared" si="4"/>
        <v>0.6</v>
      </c>
      <c r="I29" s="29">
        <f t="shared" si="5"/>
        <v>0.12</v>
      </c>
      <c r="J29" s="30"/>
      <c r="K29" s="31"/>
    </row>
    <row r="30" spans="1:11" collapsed="1" x14ac:dyDescent="0.2">
      <c r="A30" s="36">
        <v>1.4</v>
      </c>
      <c r="B30" s="17"/>
      <c r="C30" s="17" t="s">
        <v>223</v>
      </c>
      <c r="D30" s="17"/>
      <c r="E30" s="17"/>
      <c r="F30" s="18">
        <f>SUM(F31:F31)</f>
        <v>3</v>
      </c>
      <c r="G30" s="19">
        <f>SUM(G31:G31)</f>
        <v>0.60000000000000009</v>
      </c>
      <c r="H30" s="19">
        <f>SUM(H31:H31)</f>
        <v>3.6</v>
      </c>
      <c r="I30" s="19">
        <f>SUM(I31:I31)</f>
        <v>0.72</v>
      </c>
      <c r="J30" s="26"/>
      <c r="K30" s="20"/>
    </row>
    <row r="31" spans="1:11" ht="45" hidden="1" outlineLevel="1" x14ac:dyDescent="0.2">
      <c r="A31" s="11" t="s">
        <v>68</v>
      </c>
      <c r="B31" s="11" t="s">
        <v>69</v>
      </c>
      <c r="C31" s="11" t="s">
        <v>223</v>
      </c>
      <c r="D31" s="11" t="s">
        <v>70</v>
      </c>
      <c r="E31" s="11" t="s">
        <v>211</v>
      </c>
      <c r="F31" s="32">
        <v>3</v>
      </c>
      <c r="G31" s="33">
        <f t="shared" si="3"/>
        <v>0.60000000000000009</v>
      </c>
      <c r="H31" s="33">
        <f t="shared" si="4"/>
        <v>3.6</v>
      </c>
      <c r="I31" s="33">
        <f t="shared" si="5"/>
        <v>0.72</v>
      </c>
      <c r="J31" s="34"/>
      <c r="K31" s="35"/>
    </row>
    <row r="32" spans="1:11" collapsed="1" x14ac:dyDescent="0.2">
      <c r="A32" s="36">
        <v>1.5</v>
      </c>
      <c r="B32" s="17"/>
      <c r="C32" s="17" t="s">
        <v>232</v>
      </c>
      <c r="D32" s="17"/>
      <c r="E32" s="17"/>
      <c r="F32" s="18">
        <f>SUM(F33:F33)</f>
        <v>4</v>
      </c>
      <c r="G32" s="19">
        <f>SUM(G33:G33)</f>
        <v>0.8</v>
      </c>
      <c r="H32" s="19">
        <f>SUM(H33:H33)</f>
        <v>4.8</v>
      </c>
      <c r="I32" s="19">
        <f>SUM(I33:I33)</f>
        <v>0.96</v>
      </c>
      <c r="J32" s="26"/>
      <c r="K32" s="20"/>
    </row>
    <row r="33" spans="1:11" hidden="1" outlineLevel="1" x14ac:dyDescent="0.2">
      <c r="A33" s="21">
        <v>1.5</v>
      </c>
      <c r="B33" s="21" t="s">
        <v>225</v>
      </c>
      <c r="C33" s="21" t="s">
        <v>226</v>
      </c>
      <c r="D33" s="21" t="s">
        <v>227</v>
      </c>
      <c r="E33" s="21" t="s">
        <v>228</v>
      </c>
      <c r="F33" s="22">
        <v>4</v>
      </c>
      <c r="G33" s="23">
        <f t="shared" si="3"/>
        <v>0.8</v>
      </c>
      <c r="H33" s="23">
        <f t="shared" si="4"/>
        <v>4.8</v>
      </c>
      <c r="I33" s="23">
        <f t="shared" si="5"/>
        <v>0.96</v>
      </c>
      <c r="J33" s="24"/>
      <c r="K33" s="25"/>
    </row>
    <row r="34" spans="1:11" collapsed="1" x14ac:dyDescent="0.2">
      <c r="A34" s="7"/>
      <c r="B34" s="7"/>
      <c r="C34" s="7" t="s">
        <v>71</v>
      </c>
      <c r="D34" s="7"/>
      <c r="E34" s="7"/>
      <c r="F34" s="8">
        <f>F10+F19+F26+F30+F32</f>
        <v>20.3</v>
      </c>
      <c r="G34" s="8">
        <f>F34*0.2</f>
        <v>4.0600000000000005</v>
      </c>
      <c r="H34" s="8">
        <f>F34+G34</f>
        <v>24.36</v>
      </c>
      <c r="I34" s="8">
        <f>H34/5</f>
        <v>4.8719999999999999</v>
      </c>
      <c r="J34" s="47">
        <f>I34*Variables!$B$3*Variables!$B$1</f>
        <v>3410.3999999999996</v>
      </c>
      <c r="K34" s="13"/>
    </row>
    <row r="35" spans="1:11" x14ac:dyDescent="0.2">
      <c r="A35" s="49" t="s">
        <v>72</v>
      </c>
      <c r="B35" s="49"/>
      <c r="C35" s="49"/>
      <c r="D35" s="49"/>
      <c r="E35" s="49"/>
      <c r="F35" s="50"/>
      <c r="G35" s="50"/>
      <c r="H35" s="50"/>
      <c r="I35" s="50"/>
      <c r="J35" s="50"/>
      <c r="K35" s="50"/>
    </row>
    <row r="36" spans="1:11" ht="45" x14ac:dyDescent="0.2">
      <c r="A36" s="3" t="s">
        <v>73</v>
      </c>
      <c r="B36" s="3" t="s">
        <v>74</v>
      </c>
      <c r="C36" s="3" t="s">
        <v>75</v>
      </c>
      <c r="D36" s="3" t="s">
        <v>76</v>
      </c>
      <c r="E36" s="3" t="s">
        <v>214</v>
      </c>
      <c r="F36" s="4">
        <v>1</v>
      </c>
      <c r="G36" s="5">
        <f t="shared" ref="G36:G46" si="6">F36*0.2</f>
        <v>0.2</v>
      </c>
      <c r="H36" s="5">
        <f t="shared" ref="H36:H46" si="7">F36+G36</f>
        <v>1.2</v>
      </c>
      <c r="I36" s="5">
        <f t="shared" ref="I36:I46" si="8">H36/5</f>
        <v>0.24</v>
      </c>
      <c r="J36" s="6"/>
      <c r="K36" s="12" t="s">
        <v>233</v>
      </c>
    </row>
    <row r="37" spans="1:11" ht="30" x14ac:dyDescent="0.2">
      <c r="A37" s="3" t="s">
        <v>73</v>
      </c>
      <c r="B37" s="3" t="s">
        <v>77</v>
      </c>
      <c r="C37" s="3" t="s">
        <v>78</v>
      </c>
      <c r="D37" s="3" t="s">
        <v>79</v>
      </c>
      <c r="E37" s="3" t="s">
        <v>211</v>
      </c>
      <c r="F37" s="4">
        <v>2</v>
      </c>
      <c r="G37" s="5">
        <f t="shared" si="6"/>
        <v>0.4</v>
      </c>
      <c r="H37" s="5">
        <f t="shared" si="7"/>
        <v>2.4</v>
      </c>
      <c r="I37" s="5">
        <f t="shared" si="8"/>
        <v>0.48</v>
      </c>
      <c r="J37" s="6"/>
      <c r="K37" s="12"/>
    </row>
    <row r="38" spans="1:11" ht="30" x14ac:dyDescent="0.2">
      <c r="A38" s="3" t="s">
        <v>73</v>
      </c>
      <c r="B38" s="3" t="s">
        <v>80</v>
      </c>
      <c r="C38" s="3" t="s">
        <v>81</v>
      </c>
      <c r="D38" s="3" t="s">
        <v>82</v>
      </c>
      <c r="E38" s="3" t="s">
        <v>211</v>
      </c>
      <c r="F38" s="4">
        <v>3</v>
      </c>
      <c r="G38" s="5">
        <f t="shared" si="6"/>
        <v>0.60000000000000009</v>
      </c>
      <c r="H38" s="5">
        <f t="shared" si="7"/>
        <v>3.6</v>
      </c>
      <c r="I38" s="5">
        <f t="shared" si="8"/>
        <v>0.72</v>
      </c>
      <c r="J38" s="6"/>
      <c r="K38" s="12"/>
    </row>
    <row r="39" spans="1:11" x14ac:dyDescent="0.2">
      <c r="A39" s="3" t="s">
        <v>73</v>
      </c>
      <c r="B39" s="3" t="s">
        <v>83</v>
      </c>
      <c r="C39" s="3" t="s">
        <v>84</v>
      </c>
      <c r="D39" s="3" t="s">
        <v>85</v>
      </c>
      <c r="E39" s="3" t="s">
        <v>211</v>
      </c>
      <c r="F39" s="4">
        <v>1</v>
      </c>
      <c r="G39" s="5">
        <f t="shared" si="6"/>
        <v>0.2</v>
      </c>
      <c r="H39" s="5">
        <f t="shared" si="7"/>
        <v>1.2</v>
      </c>
      <c r="I39" s="5">
        <f t="shared" si="8"/>
        <v>0.24</v>
      </c>
      <c r="J39" s="6"/>
      <c r="K39" s="12"/>
    </row>
    <row r="40" spans="1:11" ht="30" x14ac:dyDescent="0.2">
      <c r="A40" s="3" t="s">
        <v>73</v>
      </c>
      <c r="B40" s="3" t="s">
        <v>86</v>
      </c>
      <c r="C40" s="3" t="s">
        <v>87</v>
      </c>
      <c r="D40" s="3" t="s">
        <v>88</v>
      </c>
      <c r="E40" s="3" t="s">
        <v>211</v>
      </c>
      <c r="F40" s="4">
        <v>1</v>
      </c>
      <c r="G40" s="5">
        <f t="shared" si="6"/>
        <v>0.2</v>
      </c>
      <c r="H40" s="5">
        <f t="shared" si="7"/>
        <v>1.2</v>
      </c>
      <c r="I40" s="5">
        <f t="shared" si="8"/>
        <v>0.24</v>
      </c>
      <c r="J40" s="6"/>
      <c r="K40" s="12"/>
    </row>
    <row r="41" spans="1:11" ht="30" x14ac:dyDescent="0.2">
      <c r="A41" s="3" t="s">
        <v>73</v>
      </c>
      <c r="B41" s="3" t="s">
        <v>89</v>
      </c>
      <c r="C41" s="3" t="s">
        <v>90</v>
      </c>
      <c r="D41" s="3" t="s">
        <v>91</v>
      </c>
      <c r="E41" s="3" t="s">
        <v>214</v>
      </c>
      <c r="F41" s="4">
        <v>3</v>
      </c>
      <c r="G41" s="5">
        <f t="shared" si="6"/>
        <v>0.60000000000000009</v>
      </c>
      <c r="H41" s="5">
        <f t="shared" si="7"/>
        <v>3.6</v>
      </c>
      <c r="I41" s="5">
        <f t="shared" si="8"/>
        <v>0.72</v>
      </c>
      <c r="J41" s="6"/>
      <c r="K41" s="12"/>
    </row>
    <row r="42" spans="1:11" x14ac:dyDescent="0.2">
      <c r="A42" s="3" t="s">
        <v>73</v>
      </c>
      <c r="B42" s="3" t="s">
        <v>92</v>
      </c>
      <c r="C42" s="3" t="s">
        <v>93</v>
      </c>
      <c r="D42" s="3" t="s">
        <v>94</v>
      </c>
      <c r="E42" s="3" t="s">
        <v>211</v>
      </c>
      <c r="F42" s="4">
        <v>1</v>
      </c>
      <c r="G42" s="5">
        <f t="shared" si="6"/>
        <v>0.2</v>
      </c>
      <c r="H42" s="5">
        <f t="shared" si="7"/>
        <v>1.2</v>
      </c>
      <c r="I42" s="5">
        <f t="shared" si="8"/>
        <v>0.24</v>
      </c>
      <c r="J42" s="6"/>
      <c r="K42" s="12"/>
    </row>
    <row r="43" spans="1:11" ht="30" x14ac:dyDescent="0.2">
      <c r="A43" s="3" t="s">
        <v>73</v>
      </c>
      <c r="B43" s="3" t="s">
        <v>95</v>
      </c>
      <c r="C43" s="3" t="s">
        <v>96</v>
      </c>
      <c r="D43" s="3" t="s">
        <v>97</v>
      </c>
      <c r="E43" s="3" t="s">
        <v>214</v>
      </c>
      <c r="F43" s="4">
        <v>2</v>
      </c>
      <c r="G43" s="5">
        <f t="shared" si="6"/>
        <v>0.4</v>
      </c>
      <c r="H43" s="5">
        <f t="shared" si="7"/>
        <v>2.4</v>
      </c>
      <c r="I43" s="5">
        <f t="shared" si="8"/>
        <v>0.48</v>
      </c>
      <c r="J43" s="6"/>
      <c r="K43" s="12"/>
    </row>
    <row r="44" spans="1:11" ht="30" x14ac:dyDescent="0.2">
      <c r="A44" s="3">
        <v>2</v>
      </c>
      <c r="B44" s="3">
        <v>2.9</v>
      </c>
      <c r="C44" s="3" t="s">
        <v>63</v>
      </c>
      <c r="D44" s="3" t="s">
        <v>64</v>
      </c>
      <c r="E44" s="3" t="s">
        <v>214</v>
      </c>
      <c r="F44" s="4">
        <v>2</v>
      </c>
      <c r="G44" s="5">
        <f>F44*0.2</f>
        <v>0.4</v>
      </c>
      <c r="H44" s="5">
        <f>F44+G44</f>
        <v>2.4</v>
      </c>
      <c r="I44" s="5">
        <f>H44/5</f>
        <v>0.48</v>
      </c>
      <c r="J44" s="6"/>
      <c r="K44" s="12"/>
    </row>
    <row r="45" spans="1:11" x14ac:dyDescent="0.2">
      <c r="A45" s="3">
        <v>2</v>
      </c>
      <c r="B45" s="3">
        <v>2.1</v>
      </c>
      <c r="C45" s="3" t="s">
        <v>236</v>
      </c>
      <c r="D45" s="3" t="s">
        <v>237</v>
      </c>
      <c r="E45" s="3" t="s">
        <v>228</v>
      </c>
      <c r="F45" s="4">
        <v>5</v>
      </c>
      <c r="G45" s="5">
        <f>F45*0.2</f>
        <v>1</v>
      </c>
      <c r="H45" s="5">
        <f>F45+G45</f>
        <v>6</v>
      </c>
      <c r="I45" s="5">
        <f>H45/5</f>
        <v>1.2</v>
      </c>
      <c r="J45" s="6"/>
      <c r="K45" s="12"/>
    </row>
    <row r="46" spans="1:11" x14ac:dyDescent="0.2">
      <c r="A46" s="7"/>
      <c r="B46" s="7"/>
      <c r="C46" s="7" t="s">
        <v>100</v>
      </c>
      <c r="D46" s="7"/>
      <c r="E46" s="7"/>
      <c r="F46" s="8">
        <f>SUM(F36:F45)</f>
        <v>21</v>
      </c>
      <c r="G46" s="8">
        <f t="shared" si="6"/>
        <v>4.2</v>
      </c>
      <c r="H46" s="8">
        <f t="shared" si="7"/>
        <v>25.2</v>
      </c>
      <c r="I46" s="8">
        <f t="shared" si="8"/>
        <v>5.04</v>
      </c>
      <c r="J46" s="47">
        <f>I46*Variables!$B$3*Variables!$B$1</f>
        <v>3528</v>
      </c>
      <c r="K46" s="13"/>
    </row>
    <row r="47" spans="1:11" x14ac:dyDescent="0.2">
      <c r="A47" s="49" t="s">
        <v>101</v>
      </c>
      <c r="B47" s="49"/>
      <c r="C47" s="49"/>
      <c r="D47" s="49"/>
      <c r="E47" s="49"/>
      <c r="F47" s="50"/>
      <c r="G47" s="50"/>
      <c r="H47" s="50"/>
      <c r="I47" s="50"/>
      <c r="J47" s="50"/>
      <c r="K47" s="50"/>
    </row>
    <row r="48" spans="1:11" x14ac:dyDescent="0.2">
      <c r="A48" s="3" t="s">
        <v>102</v>
      </c>
      <c r="B48" s="3" t="s">
        <v>103</v>
      </c>
      <c r="C48" s="3" t="s">
        <v>104</v>
      </c>
      <c r="D48" s="3" t="s">
        <v>105</v>
      </c>
      <c r="E48" s="3" t="s">
        <v>211</v>
      </c>
      <c r="F48" s="4">
        <v>3</v>
      </c>
      <c r="G48" s="5">
        <f t="shared" ref="G48:G62" si="9">F48*0.2</f>
        <v>0.60000000000000009</v>
      </c>
      <c r="H48" s="5">
        <f t="shared" ref="H48:H62" si="10">F48+G48</f>
        <v>3.6</v>
      </c>
      <c r="I48" s="5">
        <f t="shared" ref="I48:I61" si="11">H48/5</f>
        <v>0.72</v>
      </c>
      <c r="J48" s="6"/>
      <c r="K48" s="12"/>
    </row>
    <row r="49" spans="1:11" ht="30" x14ac:dyDescent="0.2">
      <c r="A49" s="3" t="s">
        <v>102</v>
      </c>
      <c r="B49" s="3" t="s">
        <v>106</v>
      </c>
      <c r="C49" s="3" t="s">
        <v>107</v>
      </c>
      <c r="D49" s="3" t="s">
        <v>108</v>
      </c>
      <c r="E49" s="3" t="s">
        <v>211</v>
      </c>
      <c r="F49" s="4">
        <v>1</v>
      </c>
      <c r="G49" s="5">
        <f t="shared" si="9"/>
        <v>0.2</v>
      </c>
      <c r="H49" s="5">
        <f t="shared" si="10"/>
        <v>1.2</v>
      </c>
      <c r="I49" s="5">
        <f t="shared" si="11"/>
        <v>0.24</v>
      </c>
      <c r="J49" s="6"/>
      <c r="K49" s="12"/>
    </row>
    <row r="50" spans="1:11" ht="30" x14ac:dyDescent="0.2">
      <c r="A50" s="3" t="s">
        <v>102</v>
      </c>
      <c r="B50" s="3" t="s">
        <v>109</v>
      </c>
      <c r="C50" s="3" t="s">
        <v>110</v>
      </c>
      <c r="D50" s="3" t="s">
        <v>111</v>
      </c>
      <c r="E50" s="3" t="s">
        <v>211</v>
      </c>
      <c r="F50" s="4">
        <v>2</v>
      </c>
      <c r="G50" s="5">
        <f t="shared" si="9"/>
        <v>0.4</v>
      </c>
      <c r="H50" s="5">
        <f t="shared" si="10"/>
        <v>2.4</v>
      </c>
      <c r="I50" s="5">
        <f t="shared" si="11"/>
        <v>0.48</v>
      </c>
      <c r="J50" s="6"/>
      <c r="K50" s="12"/>
    </row>
    <row r="51" spans="1:11" ht="30" x14ac:dyDescent="0.2">
      <c r="A51" s="3" t="s">
        <v>102</v>
      </c>
      <c r="B51" s="3" t="s">
        <v>112</v>
      </c>
      <c r="C51" s="3" t="s">
        <v>113</v>
      </c>
      <c r="D51" s="3" t="s">
        <v>114</v>
      </c>
      <c r="E51" s="3" t="s">
        <v>214</v>
      </c>
      <c r="F51" s="4">
        <v>2</v>
      </c>
      <c r="G51" s="5">
        <f t="shared" si="9"/>
        <v>0.4</v>
      </c>
      <c r="H51" s="5">
        <f t="shared" si="10"/>
        <v>2.4</v>
      </c>
      <c r="I51" s="5">
        <f t="shared" si="11"/>
        <v>0.48</v>
      </c>
      <c r="J51" s="6"/>
      <c r="K51" s="12"/>
    </row>
    <row r="52" spans="1:11" ht="30" x14ac:dyDescent="0.2">
      <c r="A52" s="3" t="s">
        <v>102</v>
      </c>
      <c r="B52" s="3" t="s">
        <v>115</v>
      </c>
      <c r="C52" s="3" t="s">
        <v>116</v>
      </c>
      <c r="D52" s="3" t="s">
        <v>117</v>
      </c>
      <c r="E52" s="3" t="s">
        <v>214</v>
      </c>
      <c r="F52" s="4">
        <v>2</v>
      </c>
      <c r="G52" s="5">
        <f t="shared" si="9"/>
        <v>0.4</v>
      </c>
      <c r="H52" s="5">
        <f t="shared" si="10"/>
        <v>2.4</v>
      </c>
      <c r="I52" s="5">
        <f t="shared" si="11"/>
        <v>0.48</v>
      </c>
      <c r="J52" s="6"/>
      <c r="K52" s="12"/>
    </row>
    <row r="53" spans="1:11" ht="30" x14ac:dyDescent="0.2">
      <c r="A53" s="3" t="s">
        <v>102</v>
      </c>
      <c r="B53" s="3" t="s">
        <v>118</v>
      </c>
      <c r="C53" s="3" t="s">
        <v>119</v>
      </c>
      <c r="D53" s="3" t="s">
        <v>120</v>
      </c>
      <c r="E53" s="3" t="s">
        <v>151</v>
      </c>
      <c r="F53" s="4">
        <v>3</v>
      </c>
      <c r="G53" s="5">
        <f t="shared" si="9"/>
        <v>0.60000000000000009</v>
      </c>
      <c r="H53" s="5">
        <f t="shared" si="10"/>
        <v>3.6</v>
      </c>
      <c r="I53" s="5">
        <f t="shared" si="11"/>
        <v>0.72</v>
      </c>
      <c r="J53" s="6"/>
      <c r="K53" s="12"/>
    </row>
    <row r="54" spans="1:11" x14ac:dyDescent="0.2">
      <c r="A54" s="3" t="s">
        <v>102</v>
      </c>
      <c r="B54" s="3" t="s">
        <v>121</v>
      </c>
      <c r="C54" s="3" t="s">
        <v>122</v>
      </c>
      <c r="D54" s="3" t="s">
        <v>123</v>
      </c>
      <c r="E54" s="3" t="s">
        <v>214</v>
      </c>
      <c r="F54" s="4">
        <v>2</v>
      </c>
      <c r="G54" s="5">
        <f t="shared" si="9"/>
        <v>0.4</v>
      </c>
      <c r="H54" s="5">
        <f t="shared" si="10"/>
        <v>2.4</v>
      </c>
      <c r="I54" s="5">
        <f t="shared" si="11"/>
        <v>0.48</v>
      </c>
      <c r="J54" s="6"/>
      <c r="K54" s="12"/>
    </row>
    <row r="55" spans="1:11" x14ac:dyDescent="0.2">
      <c r="A55" s="3" t="s">
        <v>102</v>
      </c>
      <c r="B55" s="3" t="s">
        <v>124</v>
      </c>
      <c r="C55" s="3" t="s">
        <v>128</v>
      </c>
      <c r="D55" s="3" t="s">
        <v>129</v>
      </c>
      <c r="E55" s="3" t="s">
        <v>214</v>
      </c>
      <c r="F55" s="4">
        <v>3</v>
      </c>
      <c r="G55" s="5">
        <f t="shared" si="9"/>
        <v>0.60000000000000009</v>
      </c>
      <c r="H55" s="5">
        <f t="shared" si="10"/>
        <v>3.6</v>
      </c>
      <c r="I55" s="5">
        <f t="shared" si="11"/>
        <v>0.72</v>
      </c>
      <c r="J55" s="6"/>
      <c r="K55" s="12"/>
    </row>
    <row r="56" spans="1:11" ht="30" x14ac:dyDescent="0.2">
      <c r="A56" s="3" t="s">
        <v>102</v>
      </c>
      <c r="B56" s="3" t="s">
        <v>127</v>
      </c>
      <c r="C56" s="3" t="s">
        <v>131</v>
      </c>
      <c r="D56" s="3" t="s">
        <v>234</v>
      </c>
      <c r="E56" s="3" t="s">
        <v>211</v>
      </c>
      <c r="F56" s="4">
        <v>4</v>
      </c>
      <c r="G56" s="5">
        <f t="shared" si="9"/>
        <v>0.8</v>
      </c>
      <c r="H56" s="5">
        <f t="shared" si="10"/>
        <v>4.8</v>
      </c>
      <c r="I56" s="5">
        <f t="shared" si="11"/>
        <v>0.96</v>
      </c>
      <c r="J56" s="6"/>
      <c r="K56" s="12"/>
    </row>
    <row r="57" spans="1:11" ht="30" x14ac:dyDescent="0.2">
      <c r="A57" s="3" t="s">
        <v>102</v>
      </c>
      <c r="B57" s="3" t="s">
        <v>130</v>
      </c>
      <c r="C57" s="3" t="s">
        <v>133</v>
      </c>
      <c r="D57" s="3" t="s">
        <v>134</v>
      </c>
      <c r="E57" s="3" t="s">
        <v>211</v>
      </c>
      <c r="F57" s="4">
        <v>4</v>
      </c>
      <c r="G57" s="5">
        <f t="shared" si="9"/>
        <v>0.8</v>
      </c>
      <c r="H57" s="5">
        <f t="shared" si="10"/>
        <v>4.8</v>
      </c>
      <c r="I57" s="5">
        <f t="shared" si="11"/>
        <v>0.96</v>
      </c>
      <c r="J57" s="6"/>
      <c r="K57" s="12"/>
    </row>
    <row r="58" spans="1:11" ht="30" x14ac:dyDescent="0.2">
      <c r="A58" s="3" t="s">
        <v>102</v>
      </c>
      <c r="B58" s="3" t="s">
        <v>132</v>
      </c>
      <c r="C58" s="3" t="s">
        <v>136</v>
      </c>
      <c r="D58" s="3" t="s">
        <v>137</v>
      </c>
      <c r="E58" s="3" t="s">
        <v>214</v>
      </c>
      <c r="F58" s="4">
        <v>4</v>
      </c>
      <c r="G58" s="5">
        <f t="shared" si="9"/>
        <v>0.8</v>
      </c>
      <c r="H58" s="5">
        <f t="shared" si="10"/>
        <v>4.8</v>
      </c>
      <c r="I58" s="5">
        <f t="shared" si="11"/>
        <v>0.96</v>
      </c>
      <c r="J58" s="6"/>
      <c r="K58" s="12"/>
    </row>
    <row r="59" spans="1:11" ht="30" x14ac:dyDescent="0.2">
      <c r="A59" s="3" t="s">
        <v>102</v>
      </c>
      <c r="B59" s="3" t="s">
        <v>135</v>
      </c>
      <c r="C59" s="3" t="s">
        <v>139</v>
      </c>
      <c r="D59" s="3" t="s">
        <v>140</v>
      </c>
      <c r="E59" s="3" t="s">
        <v>235</v>
      </c>
      <c r="F59" s="4">
        <v>5</v>
      </c>
      <c r="G59" s="5">
        <f t="shared" si="9"/>
        <v>1</v>
      </c>
      <c r="H59" s="5">
        <f t="shared" si="10"/>
        <v>6</v>
      </c>
      <c r="I59" s="5">
        <f t="shared" si="11"/>
        <v>1.2</v>
      </c>
      <c r="J59" s="6"/>
      <c r="K59" s="12"/>
    </row>
    <row r="60" spans="1:11" ht="30" x14ac:dyDescent="0.2">
      <c r="A60" s="3">
        <v>3</v>
      </c>
      <c r="B60" s="3" t="s">
        <v>138</v>
      </c>
      <c r="C60" s="3" t="s">
        <v>98</v>
      </c>
      <c r="D60" s="3" t="s">
        <v>99</v>
      </c>
      <c r="E60" s="3" t="s">
        <v>211</v>
      </c>
      <c r="F60" s="4">
        <v>3</v>
      </c>
      <c r="G60" s="5">
        <f>F60*0.2</f>
        <v>0.60000000000000009</v>
      </c>
      <c r="H60" s="5">
        <f>F60+G60</f>
        <v>3.6</v>
      </c>
      <c r="I60" s="5">
        <f>H60/5</f>
        <v>0.72</v>
      </c>
      <c r="J60" s="6"/>
      <c r="K60" s="12"/>
    </row>
    <row r="61" spans="1:11" x14ac:dyDescent="0.2">
      <c r="A61" s="7"/>
      <c r="B61" s="7"/>
      <c r="C61" s="7" t="s">
        <v>141</v>
      </c>
      <c r="D61" s="7"/>
      <c r="E61" s="7"/>
      <c r="F61" s="8">
        <f>SUM(F48:F60)</f>
        <v>38</v>
      </c>
      <c r="G61" s="8">
        <f t="shared" si="9"/>
        <v>7.6000000000000005</v>
      </c>
      <c r="H61" s="8">
        <f t="shared" si="10"/>
        <v>45.6</v>
      </c>
      <c r="I61" s="8">
        <f t="shared" si="11"/>
        <v>9.120000000000001</v>
      </c>
      <c r="J61" s="47">
        <f>I61*Variables!$B$3*Variables!$B$1</f>
        <v>6384.0000000000009</v>
      </c>
      <c r="K61" s="13"/>
    </row>
    <row r="62" spans="1:11" x14ac:dyDescent="0.2">
      <c r="A62" s="9"/>
      <c r="B62" s="9"/>
      <c r="C62" s="9" t="s">
        <v>142</v>
      </c>
      <c r="D62" s="9"/>
      <c r="E62" s="9"/>
      <c r="F62" s="10">
        <f>F8+F34+F46+F61</f>
        <v>91</v>
      </c>
      <c r="G62" s="10">
        <f t="shared" si="9"/>
        <v>18.2</v>
      </c>
      <c r="H62" s="10">
        <f t="shared" si="10"/>
        <v>109.2</v>
      </c>
      <c r="I62" s="10">
        <f>H62/5</f>
        <v>21.84</v>
      </c>
      <c r="J62" s="48">
        <f>I62*Variables!$B$3*Variables!$B$1</f>
        <v>15288</v>
      </c>
      <c r="K62" s="14"/>
    </row>
  </sheetData>
  <mergeCells count="4">
    <mergeCell ref="A35:K35"/>
    <mergeCell ref="A47:K47"/>
    <mergeCell ref="A9:K9"/>
    <mergeCell ref="A2:K2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zoomScale="140" zoomScaleNormal="140" workbookViewId="0">
      <pane ySplit="1" topLeftCell="A2" activePane="bottomLeft" state="frozen"/>
      <selection pane="bottomLeft" activeCell="B18" sqref="B18"/>
    </sheetView>
  </sheetViews>
  <sheetFormatPr baseColWidth="10" defaultColWidth="8.83203125" defaultRowHeight="15" x14ac:dyDescent="0.2"/>
  <cols>
    <col min="1" max="1" width="5" customWidth="1"/>
    <col min="2" max="2" width="60" customWidth="1"/>
    <col min="3" max="3" width="20" customWidth="1"/>
    <col min="4" max="5" width="12" customWidth="1"/>
    <col min="6" max="6" width="14" customWidth="1"/>
    <col min="7" max="7" width="30" customWidth="1"/>
  </cols>
  <sheetData>
    <row r="1" spans="1:7" x14ac:dyDescent="0.2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</row>
    <row r="2" spans="1:7" x14ac:dyDescent="0.2">
      <c r="A2" s="3">
        <v>1</v>
      </c>
      <c r="B2" s="3" t="s">
        <v>150</v>
      </c>
      <c r="C2" s="3" t="s">
        <v>151</v>
      </c>
      <c r="D2" s="3" t="s">
        <v>152</v>
      </c>
      <c r="E2" s="3" t="s">
        <v>153</v>
      </c>
      <c r="F2" s="3" t="s">
        <v>154</v>
      </c>
      <c r="G2" s="3"/>
    </row>
    <row r="3" spans="1:7" x14ac:dyDescent="0.2">
      <c r="A3" s="3">
        <v>2</v>
      </c>
      <c r="B3" s="3" t="s">
        <v>155</v>
      </c>
      <c r="C3" s="3" t="s">
        <v>151</v>
      </c>
      <c r="D3" s="3" t="s">
        <v>152</v>
      </c>
      <c r="E3" s="3" t="s">
        <v>156</v>
      </c>
      <c r="F3" s="3" t="s">
        <v>157</v>
      </c>
      <c r="G3" s="3"/>
    </row>
    <row r="4" spans="1:7" x14ac:dyDescent="0.2">
      <c r="A4" s="3">
        <v>3</v>
      </c>
      <c r="B4" s="3" t="s">
        <v>158</v>
      </c>
      <c r="C4" s="3" t="s">
        <v>159</v>
      </c>
      <c r="D4" s="3" t="s">
        <v>152</v>
      </c>
      <c r="E4" s="3" t="s">
        <v>153</v>
      </c>
      <c r="F4" s="3" t="s">
        <v>154</v>
      </c>
      <c r="G4" s="3"/>
    </row>
    <row r="5" spans="1:7" ht="30" x14ac:dyDescent="0.2">
      <c r="A5" s="3">
        <v>4</v>
      </c>
      <c r="B5" s="3" t="s">
        <v>160</v>
      </c>
      <c r="C5" s="3" t="s">
        <v>159</v>
      </c>
      <c r="D5" s="3" t="s">
        <v>152</v>
      </c>
      <c r="E5" s="3" t="s">
        <v>153</v>
      </c>
      <c r="F5" s="3" t="s">
        <v>157</v>
      </c>
      <c r="G5" s="3"/>
    </row>
    <row r="6" spans="1:7" x14ac:dyDescent="0.2">
      <c r="A6" s="3">
        <v>5</v>
      </c>
      <c r="B6" s="3" t="s">
        <v>161</v>
      </c>
      <c r="C6" s="3" t="s">
        <v>159</v>
      </c>
      <c r="D6" s="3" t="s">
        <v>152</v>
      </c>
      <c r="E6" s="3" t="s">
        <v>156</v>
      </c>
      <c r="F6" s="3" t="s">
        <v>157</v>
      </c>
      <c r="G6" s="3"/>
    </row>
    <row r="7" spans="1:7" ht="30" x14ac:dyDescent="0.2">
      <c r="A7" s="3">
        <v>6</v>
      </c>
      <c r="B7" s="3" t="s">
        <v>162</v>
      </c>
      <c r="C7" s="3" t="s">
        <v>159</v>
      </c>
      <c r="D7" s="3" t="s">
        <v>152</v>
      </c>
      <c r="E7" s="3" t="s">
        <v>163</v>
      </c>
      <c r="F7" s="3" t="s">
        <v>164</v>
      </c>
      <c r="G7" s="3"/>
    </row>
    <row r="8" spans="1:7" x14ac:dyDescent="0.2">
      <c r="A8" s="3">
        <v>7</v>
      </c>
      <c r="B8" s="3" t="s">
        <v>165</v>
      </c>
      <c r="C8" s="3" t="s">
        <v>159</v>
      </c>
      <c r="D8" s="3" t="s">
        <v>152</v>
      </c>
      <c r="E8" s="3" t="s">
        <v>156</v>
      </c>
      <c r="F8" s="3" t="s">
        <v>166</v>
      </c>
      <c r="G8" s="3"/>
    </row>
    <row r="9" spans="1:7" x14ac:dyDescent="0.2">
      <c r="A9" s="3">
        <v>8</v>
      </c>
      <c r="B9" s="3" t="s">
        <v>167</v>
      </c>
      <c r="C9" s="3" t="s">
        <v>151</v>
      </c>
      <c r="D9" s="3" t="s">
        <v>152</v>
      </c>
      <c r="E9" s="3" t="s">
        <v>153</v>
      </c>
      <c r="F9" s="3" t="s">
        <v>154</v>
      </c>
      <c r="G9" s="3"/>
    </row>
    <row r="10" spans="1:7" x14ac:dyDescent="0.2">
      <c r="A10" s="3">
        <v>9</v>
      </c>
      <c r="B10" s="3" t="s">
        <v>168</v>
      </c>
      <c r="C10" s="3" t="s">
        <v>151</v>
      </c>
      <c r="D10" s="3" t="s">
        <v>152</v>
      </c>
      <c r="E10" s="3" t="s">
        <v>153</v>
      </c>
      <c r="F10" s="3" t="s">
        <v>154</v>
      </c>
      <c r="G10" s="3"/>
    </row>
    <row r="11" spans="1:7" x14ac:dyDescent="0.2">
      <c r="A11" s="3">
        <v>10</v>
      </c>
      <c r="B11" s="3" t="s">
        <v>169</v>
      </c>
      <c r="C11" s="3" t="s">
        <v>151</v>
      </c>
      <c r="D11" s="3" t="s">
        <v>152</v>
      </c>
      <c r="E11" s="3" t="s">
        <v>153</v>
      </c>
      <c r="F11" s="3" t="s">
        <v>170</v>
      </c>
      <c r="G11" s="3"/>
    </row>
    <row r="12" spans="1:7" x14ac:dyDescent="0.2">
      <c r="A12" s="3">
        <v>11</v>
      </c>
      <c r="B12" s="3" t="s">
        <v>238</v>
      </c>
      <c r="C12" s="3" t="s">
        <v>159</v>
      </c>
      <c r="D12" s="3" t="s">
        <v>152</v>
      </c>
      <c r="E12" s="3" t="s">
        <v>153</v>
      </c>
      <c r="F12" s="3" t="s">
        <v>154</v>
      </c>
      <c r="G12" s="3"/>
    </row>
    <row r="13" spans="1:7" ht="30" x14ac:dyDescent="0.2">
      <c r="A13" s="3">
        <v>12</v>
      </c>
      <c r="B13" s="3" t="s">
        <v>171</v>
      </c>
      <c r="C13" s="3" t="s">
        <v>159</v>
      </c>
      <c r="D13" s="3" t="s">
        <v>152</v>
      </c>
      <c r="E13" s="3" t="s">
        <v>153</v>
      </c>
      <c r="F13" s="3" t="s">
        <v>157</v>
      </c>
      <c r="G13" s="3" t="s">
        <v>172</v>
      </c>
    </row>
    <row r="14" spans="1:7" x14ac:dyDescent="0.2">
      <c r="A14" s="3">
        <v>13</v>
      </c>
      <c r="B14" s="11" t="s">
        <v>242</v>
      </c>
      <c r="C14" s="3" t="s">
        <v>159</v>
      </c>
      <c r="D14" s="11" t="s">
        <v>152</v>
      </c>
      <c r="E14" s="11" t="s">
        <v>153</v>
      </c>
      <c r="F14" s="11" t="s">
        <v>154</v>
      </c>
    </row>
    <row r="15" spans="1:7" x14ac:dyDescent="0.2">
      <c r="A15" s="3">
        <v>14</v>
      </c>
      <c r="B15" s="11" t="s">
        <v>243</v>
      </c>
      <c r="C15" s="3" t="s">
        <v>159</v>
      </c>
      <c r="D15" s="11" t="s">
        <v>152</v>
      </c>
      <c r="E15" s="11" t="s">
        <v>153</v>
      </c>
      <c r="F15" s="11" t="s">
        <v>157</v>
      </c>
    </row>
    <row r="16" spans="1:7" x14ac:dyDescent="0.2">
      <c r="A16" s="3">
        <v>15</v>
      </c>
      <c r="B16" s="11" t="s">
        <v>244</v>
      </c>
      <c r="C16" s="3" t="s">
        <v>159</v>
      </c>
      <c r="D16" s="11" t="s">
        <v>152</v>
      </c>
      <c r="E16" s="11" t="s">
        <v>153</v>
      </c>
      <c r="F16" s="11" t="s">
        <v>157</v>
      </c>
    </row>
    <row r="17" spans="1:7" ht="30" x14ac:dyDescent="0.2">
      <c r="A17" s="11">
        <v>16</v>
      </c>
      <c r="B17" s="11" t="s">
        <v>245</v>
      </c>
      <c r="C17" s="3" t="s">
        <v>159</v>
      </c>
      <c r="D17" s="11" t="s">
        <v>152</v>
      </c>
      <c r="E17" s="11" t="s">
        <v>153</v>
      </c>
      <c r="F17" s="11" t="s">
        <v>157</v>
      </c>
    </row>
    <row r="18" spans="1:7" ht="60" x14ac:dyDescent="0.2">
      <c r="A18" s="11">
        <v>17</v>
      </c>
      <c r="B18" s="11" t="s">
        <v>246</v>
      </c>
      <c r="C18" s="3" t="s">
        <v>159</v>
      </c>
      <c r="D18" s="11" t="s">
        <v>152</v>
      </c>
      <c r="E18" s="3" t="s">
        <v>156</v>
      </c>
      <c r="F18" s="3" t="s">
        <v>157</v>
      </c>
    </row>
    <row r="19" spans="1:7" ht="30" x14ac:dyDescent="0.2">
      <c r="A19" s="11">
        <v>18</v>
      </c>
      <c r="B19" s="11" t="s">
        <v>247</v>
      </c>
      <c r="C19" s="27" t="s">
        <v>159</v>
      </c>
      <c r="D19" s="11" t="s">
        <v>152</v>
      </c>
      <c r="E19" s="27" t="s">
        <v>156</v>
      </c>
      <c r="F19" s="27" t="s">
        <v>157</v>
      </c>
    </row>
    <row r="20" spans="1:7" ht="30" x14ac:dyDescent="0.2">
      <c r="A20" s="44">
        <v>19</v>
      </c>
      <c r="B20" s="44" t="s">
        <v>248</v>
      </c>
      <c r="C20" s="44" t="s">
        <v>159</v>
      </c>
      <c r="D20" s="44" t="s">
        <v>152</v>
      </c>
      <c r="E20" s="44" t="s">
        <v>153</v>
      </c>
      <c r="F20" s="44" t="s">
        <v>157</v>
      </c>
      <c r="G20" s="45"/>
    </row>
    <row r="21" spans="1:7" x14ac:dyDescent="0.2">
      <c r="A21" s="42">
        <v>20</v>
      </c>
      <c r="B21" s="42" t="s">
        <v>249</v>
      </c>
      <c r="C21" s="42" t="s">
        <v>159</v>
      </c>
      <c r="D21" s="42" t="s">
        <v>152</v>
      </c>
      <c r="E21" s="42" t="s">
        <v>156</v>
      </c>
      <c r="F21" s="42" t="s">
        <v>157</v>
      </c>
      <c r="G21" s="4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pane ySplit="1" topLeftCell="A2" activePane="bottomLeft" state="frozen"/>
      <selection pane="bottomLeft" activeCell="E15" sqref="E15"/>
    </sheetView>
  </sheetViews>
  <sheetFormatPr baseColWidth="10" defaultColWidth="8.83203125" defaultRowHeight="15" x14ac:dyDescent="0.2"/>
  <cols>
    <col min="1" max="1" width="5" customWidth="1"/>
    <col min="2" max="2" width="55" customWidth="1"/>
    <col min="3" max="3" width="50" customWidth="1"/>
    <col min="4" max="5" width="14" customWidth="1"/>
  </cols>
  <sheetData>
    <row r="1" spans="1:5" x14ac:dyDescent="0.2">
      <c r="A1" s="1" t="s">
        <v>143</v>
      </c>
      <c r="B1" s="1" t="s">
        <v>173</v>
      </c>
      <c r="C1" s="1" t="s">
        <v>174</v>
      </c>
      <c r="D1" s="1" t="s">
        <v>0</v>
      </c>
      <c r="E1" s="1" t="s">
        <v>146</v>
      </c>
    </row>
    <row r="2" spans="1:5" ht="30" x14ac:dyDescent="0.2">
      <c r="A2" s="3">
        <v>1</v>
      </c>
      <c r="B2" s="3" t="s">
        <v>175</v>
      </c>
      <c r="C2" s="3" t="s">
        <v>176</v>
      </c>
      <c r="D2" s="3" t="s">
        <v>157</v>
      </c>
      <c r="E2" s="3" t="s">
        <v>177</v>
      </c>
    </row>
    <row r="3" spans="1:5" ht="30" x14ac:dyDescent="0.2">
      <c r="A3" s="3">
        <v>2</v>
      </c>
      <c r="B3" s="3" t="s">
        <v>178</v>
      </c>
      <c r="C3" s="3" t="s">
        <v>179</v>
      </c>
      <c r="D3" s="3" t="s">
        <v>157</v>
      </c>
      <c r="E3" s="3" t="s">
        <v>180</v>
      </c>
    </row>
    <row r="4" spans="1:5" x14ac:dyDescent="0.2">
      <c r="A4" s="3">
        <v>3</v>
      </c>
      <c r="B4" s="3" t="s">
        <v>239</v>
      </c>
      <c r="C4" s="3" t="s">
        <v>181</v>
      </c>
      <c r="D4" s="3" t="s">
        <v>154</v>
      </c>
      <c r="E4" s="3" t="s">
        <v>182</v>
      </c>
    </row>
    <row r="5" spans="1:5" x14ac:dyDescent="0.2">
      <c r="A5" s="3">
        <v>4</v>
      </c>
      <c r="B5" s="3" t="s">
        <v>183</v>
      </c>
      <c r="C5" s="3" t="s">
        <v>184</v>
      </c>
      <c r="D5" s="3" t="s">
        <v>157</v>
      </c>
      <c r="E5" s="3" t="s">
        <v>182</v>
      </c>
    </row>
    <row r="6" spans="1:5" x14ac:dyDescent="0.2">
      <c r="A6" s="3">
        <v>5</v>
      </c>
      <c r="B6" s="3" t="s">
        <v>185</v>
      </c>
      <c r="C6" s="3" t="s">
        <v>186</v>
      </c>
      <c r="D6" s="3" t="s">
        <v>170</v>
      </c>
      <c r="E6" s="3" t="s">
        <v>182</v>
      </c>
    </row>
    <row r="7" spans="1:5" ht="30" x14ac:dyDescent="0.2">
      <c r="A7" s="3">
        <v>6</v>
      </c>
      <c r="B7" s="3" t="s">
        <v>187</v>
      </c>
      <c r="C7" s="3" t="s">
        <v>188</v>
      </c>
      <c r="D7" s="3" t="s">
        <v>157</v>
      </c>
      <c r="E7" s="3" t="s">
        <v>182</v>
      </c>
    </row>
    <row r="8" spans="1:5" ht="30" x14ac:dyDescent="0.2">
      <c r="A8" s="3">
        <v>7</v>
      </c>
      <c r="B8" s="3" t="s">
        <v>189</v>
      </c>
      <c r="C8" s="3" t="s">
        <v>190</v>
      </c>
      <c r="D8" s="3" t="s">
        <v>157</v>
      </c>
      <c r="E8" s="3" t="s">
        <v>182</v>
      </c>
    </row>
    <row r="9" spans="1:5" ht="30" x14ac:dyDescent="0.2">
      <c r="A9" s="3">
        <v>8</v>
      </c>
      <c r="B9" s="3" t="s">
        <v>191</v>
      </c>
      <c r="C9" s="3" t="s">
        <v>192</v>
      </c>
      <c r="D9" s="3" t="s">
        <v>157</v>
      </c>
      <c r="E9" s="3" t="s">
        <v>182</v>
      </c>
    </row>
    <row r="10" spans="1:5" ht="30" x14ac:dyDescent="0.2">
      <c r="A10" s="3">
        <v>9</v>
      </c>
      <c r="B10" s="3" t="s">
        <v>193</v>
      </c>
      <c r="C10" s="3" t="s">
        <v>194</v>
      </c>
      <c r="D10" s="3" t="s">
        <v>157</v>
      </c>
      <c r="E10" s="3" t="s">
        <v>177</v>
      </c>
    </row>
    <row r="11" spans="1:5" ht="30" x14ac:dyDescent="0.2">
      <c r="A11" s="3">
        <v>10</v>
      </c>
      <c r="B11" s="3" t="s">
        <v>196</v>
      </c>
      <c r="C11" s="3" t="s">
        <v>197</v>
      </c>
      <c r="D11" s="3" t="s">
        <v>195</v>
      </c>
      <c r="E11" s="3" t="s">
        <v>177</v>
      </c>
    </row>
    <row r="12" spans="1:5" ht="30" x14ac:dyDescent="0.2">
      <c r="A12" s="3">
        <v>11</v>
      </c>
      <c r="B12" s="3" t="s">
        <v>198</v>
      </c>
      <c r="C12" s="3" t="s">
        <v>199</v>
      </c>
      <c r="D12" s="3" t="s">
        <v>154</v>
      </c>
      <c r="E12" s="3" t="s">
        <v>182</v>
      </c>
    </row>
    <row r="13" spans="1:5" ht="30" x14ac:dyDescent="0.2">
      <c r="A13" s="3">
        <v>12</v>
      </c>
      <c r="B13" s="3" t="s">
        <v>200</v>
      </c>
      <c r="C13" s="3" t="s">
        <v>201</v>
      </c>
      <c r="D13" s="3" t="s">
        <v>154</v>
      </c>
      <c r="E13" s="3" t="s">
        <v>180</v>
      </c>
    </row>
    <row r="14" spans="1:5" ht="30" x14ac:dyDescent="0.2">
      <c r="A14" s="3">
        <v>13</v>
      </c>
      <c r="B14" s="3" t="s">
        <v>202</v>
      </c>
      <c r="C14" s="3" t="s">
        <v>203</v>
      </c>
      <c r="D14" s="3" t="s">
        <v>195</v>
      </c>
      <c r="E14" s="3" t="s">
        <v>177</v>
      </c>
    </row>
    <row r="15" spans="1:5" ht="30" x14ac:dyDescent="0.2">
      <c r="B15" s="11" t="s">
        <v>240</v>
      </c>
      <c r="C15" s="11" t="s">
        <v>241</v>
      </c>
      <c r="D15" s="11" t="s">
        <v>195</v>
      </c>
      <c r="E15" s="11" t="s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7A7B4-CF44-D84B-9929-D77F862E69AB}">
  <dimension ref="A1:B3"/>
  <sheetViews>
    <sheetView zoomScale="160" zoomScaleNormal="160" workbookViewId="0">
      <selection activeCell="B2" sqref="B2"/>
    </sheetView>
  </sheetViews>
  <sheetFormatPr baseColWidth="10" defaultRowHeight="15" x14ac:dyDescent="0.2"/>
  <cols>
    <col min="1" max="1" width="14.6640625" bestFit="1" customWidth="1"/>
  </cols>
  <sheetData>
    <row r="1" spans="1:2" x14ac:dyDescent="0.2">
      <c r="A1" t="s">
        <v>250</v>
      </c>
      <c r="B1">
        <v>20</v>
      </c>
    </row>
    <row r="2" spans="1:2" x14ac:dyDescent="0.2">
      <c r="A2" t="s">
        <v>251</v>
      </c>
      <c r="B2">
        <v>7</v>
      </c>
    </row>
    <row r="3" spans="1:2" x14ac:dyDescent="0.2">
      <c r="A3" t="s">
        <v>252</v>
      </c>
      <c r="B3">
        <f>B2*5</f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D7F304B943E4CBF8874AF32C7E1B6" ma:contentTypeVersion="3" ma:contentTypeDescription="Create a new document." ma:contentTypeScope="" ma:versionID="e5d3a54ab18f8627218e3d7705d021c7">
  <xsd:schema xmlns:xsd="http://www.w3.org/2001/XMLSchema" xmlns:xs="http://www.w3.org/2001/XMLSchema" xmlns:p="http://schemas.microsoft.com/office/2006/metadata/properties" xmlns:ns2="9dd5eb76-deb1-47dd-a327-962b84f20bd4" targetNamespace="http://schemas.microsoft.com/office/2006/metadata/properties" ma:root="true" ma:fieldsID="babb0b661c44f44c6cd7108faa0b2cd0" ns2:_="">
    <xsd:import namespace="9dd5eb76-deb1-47dd-a327-962b84f20b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d5eb76-deb1-47dd-a327-962b84f20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EC52D8-A049-4D16-9A99-3EEA7A4556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B6967A-E75A-4183-BC85-F6D020ABC9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d5eb76-deb1-47dd-a327-962b84f20b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3DE753-9866-4886-9DE1-3A86A83C7FFD}">
  <ds:schemaRefs>
    <ds:schemaRef ds:uri="http://schemas.microsoft.com/office/2006/documentManagement/types"/>
    <ds:schemaRef ds:uri="http://purl.org/dc/terms/"/>
    <ds:schemaRef ds:uri="9dd5eb76-deb1-47dd-a327-962b84f20bd4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Phase Estimation</vt:lpstr>
      <vt:lpstr>Open Questions</vt:lpstr>
      <vt:lpstr>Assumptions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Nadeem Mardini</cp:lastModifiedBy>
  <dcterms:created xsi:type="dcterms:W3CDTF">2026-04-14T09:40:00Z</dcterms:created>
  <dcterms:modified xsi:type="dcterms:W3CDTF">2026-04-14T16:27:13Z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0x01010014ED7F304B943E4CBF8874AF32C7E1B6</vt:lpwstr>
  </property>
</Properties>
</file>